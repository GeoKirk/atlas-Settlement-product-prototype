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<sst xmlns="http://schemas.openxmlformats.org/spreadsheetml/2006/main" count="153" uniqueCount="100">
  <si>
    <t xml:space="preserve">Vertragsnummer</t>
  </si>
  <si>
    <t xml:space="preserve">Vertrieb_ID</t>
  </si>
  <si>
    <t xml:space="preserve">Vertrieb_Name</t>
  </si>
  <si>
    <t xml:space="preserve">Beginn</t>
  </si>
  <si>
    <t xml:space="preserve">Tilgdauer</t>
  </si>
  <si>
    <t xml:space="preserve">Prämie</t>
  </si>
  <si>
    <t xml:space="preserve">Barzahlungspreis</t>
  </si>
  <si>
    <t xml:space="preserve">Check_BWS</t>
  </si>
  <si>
    <t xml:space="preserve">BWS</t>
  </si>
  <si>
    <t xml:space="preserve">Kaufpreissatz</t>
  </si>
  <si>
    <t xml:space="preserve">max_Kaufpreissatz</t>
  </si>
  <si>
    <t xml:space="preserve">Sicherheitensatz</t>
  </si>
  <si>
    <t xml:space="preserve">Kundenzahlung_Brutto</t>
  </si>
  <si>
    <t xml:space="preserve">Kaufpreis</t>
  </si>
  <si>
    <t xml:space="preserve">Marge_CY</t>
  </si>
  <si>
    <t xml:space="preserve">Sicherheitseinbehalt</t>
  </si>
  <si>
    <t xml:space="preserve">Broker_Payout</t>
  </si>
  <si>
    <t xml:space="preserve">CONTRACT-001</t>
  </si>
  <si>
    <t xml:space="preserve">ABC</t>
  </si>
  <si>
    <t xml:space="preserve">CONTRACT-002</t>
  </si>
  <si>
    <t xml:space="preserve">CONTRACT-003</t>
  </si>
  <si>
    <t xml:space="preserve">CONTRACT-004</t>
  </si>
  <si>
    <t xml:space="preserve">DEF</t>
  </si>
  <si>
    <t xml:space="preserve">CONTRACT-005</t>
  </si>
  <si>
    <t xml:space="preserve">CONTRACT-006</t>
  </si>
  <si>
    <t xml:space="preserve">GHI</t>
  </si>
  <si>
    <t xml:space="preserve">CONTRACT-007</t>
  </si>
  <si>
    <t xml:space="preserve">CONTRACT-008</t>
  </si>
  <si>
    <t xml:space="preserve">CONTRACT-009</t>
  </si>
  <si>
    <t xml:space="preserve">JKL</t>
  </si>
  <si>
    <t xml:space="preserve">CONTRACT-010</t>
  </si>
  <si>
    <t xml:space="preserve">CONTRACT-011</t>
  </si>
  <si>
    <t xml:space="preserve">CONTRACT-012</t>
  </si>
  <si>
    <t xml:space="preserve">CONTRACT-013</t>
  </si>
  <si>
    <t xml:space="preserve">CONTRACT-014</t>
  </si>
  <si>
    <t xml:space="preserve">CONTRACT-015</t>
  </si>
  <si>
    <t xml:space="preserve">CONTRACT-016</t>
  </si>
  <si>
    <t xml:space="preserve">CONTRACT-017</t>
  </si>
  <si>
    <t xml:space="preserve">CONTRACT-018</t>
  </si>
  <si>
    <t xml:space="preserve">CONTRACT-019</t>
  </si>
  <si>
    <t xml:space="preserve">MNO</t>
  </si>
  <si>
    <t xml:space="preserve">CONTRACT-020</t>
  </si>
  <si>
    <t xml:space="preserve">PQR</t>
  </si>
  <si>
    <t xml:space="preserve">CONTRACT-021</t>
  </si>
  <si>
    <t xml:space="preserve">STU</t>
  </si>
  <si>
    <t xml:space="preserve">CONTRACT-022</t>
  </si>
  <si>
    <t xml:space="preserve">CONTRACT-023</t>
  </si>
  <si>
    <t xml:space="preserve">CONTRACT-024</t>
  </si>
  <si>
    <t xml:space="preserve">CONTRACT-025</t>
  </si>
  <si>
    <t xml:space="preserve">VWX</t>
  </si>
  <si>
    <t xml:space="preserve">CONTRACT-026</t>
  </si>
  <si>
    <t xml:space="preserve">YZA</t>
  </si>
  <si>
    <t xml:space="preserve">CONTRACT-027</t>
  </si>
  <si>
    <t xml:space="preserve">CONTRACT-028</t>
  </si>
  <si>
    <t xml:space="preserve">BCD</t>
  </si>
  <si>
    <t xml:space="preserve">CONTRACT-029</t>
  </si>
  <si>
    <t xml:space="preserve">CONTRACT-030</t>
  </si>
  <si>
    <t xml:space="preserve">EFG</t>
  </si>
  <si>
    <t xml:space="preserve">CONTRACT-031</t>
  </si>
  <si>
    <t xml:space="preserve">CONTRACT-032</t>
  </si>
  <si>
    <t xml:space="preserve">CONTRACT-033</t>
  </si>
  <si>
    <t xml:space="preserve">CONTRACT-034</t>
  </si>
  <si>
    <t xml:space="preserve">CONTRACT-035</t>
  </si>
  <si>
    <t xml:space="preserve">CONTRACT-036</t>
  </si>
  <si>
    <t xml:space="preserve">CONTRACT-037</t>
  </si>
  <si>
    <t xml:space="preserve">CONTRACT-038</t>
  </si>
  <si>
    <t xml:space="preserve">HIJ</t>
  </si>
  <si>
    <t xml:space="preserve">CONTRACT-039</t>
  </si>
  <si>
    <t xml:space="preserve">CONTRACT-040</t>
  </si>
  <si>
    <t xml:space="preserve">KLM</t>
  </si>
  <si>
    <t xml:space="preserve">CONTRACT-041</t>
  </si>
  <si>
    <t xml:space="preserve">CONTRACT-042</t>
  </si>
  <si>
    <t xml:space="preserve">CONTRACT-043</t>
  </si>
  <si>
    <t xml:space="preserve">NOP</t>
  </si>
  <si>
    <t xml:space="preserve">CONTRACT-044</t>
  </si>
  <si>
    <t xml:space="preserve">CONTRACT-045</t>
  </si>
  <si>
    <t xml:space="preserve">CONTRACT-046</t>
  </si>
  <si>
    <t xml:space="preserve">CONTRACT-047</t>
  </si>
  <si>
    <t xml:space="preserve">CONTRACT-048</t>
  </si>
  <si>
    <t xml:space="preserve">CONTRACT-049</t>
  </si>
  <si>
    <t xml:space="preserve">CONTRACT-050</t>
  </si>
  <si>
    <t xml:space="preserve">CONTRACT-051</t>
  </si>
  <si>
    <t xml:space="preserve">CONTRACT-052</t>
  </si>
  <si>
    <t xml:space="preserve">CONTRACT-053</t>
  </si>
  <si>
    <t xml:space="preserve">CONTRACT-054</t>
  </si>
  <si>
    <t xml:space="preserve">CONTRACT-055</t>
  </si>
  <si>
    <t xml:space="preserve">CONTRACT-056</t>
  </si>
  <si>
    <t xml:space="preserve">CONTRACT-057</t>
  </si>
  <si>
    <t xml:space="preserve">CONTRACT-058</t>
  </si>
  <si>
    <t xml:space="preserve">CONTRACT-059</t>
  </si>
  <si>
    <t xml:space="preserve">CONTRACT-060</t>
  </si>
  <si>
    <t xml:space="preserve">CONTRACT-061</t>
  </si>
  <si>
    <t xml:space="preserve">CONTRACT-062</t>
  </si>
  <si>
    <t xml:space="preserve">YVW</t>
  </si>
  <si>
    <t xml:space="preserve">CONTRACT-063</t>
  </si>
  <si>
    <t xml:space="preserve">CONTRACT-064</t>
  </si>
  <si>
    <t xml:space="preserve">CONTRACT-065</t>
  </si>
  <si>
    <t xml:space="preserve">CONTRACT-066</t>
  </si>
  <si>
    <t xml:space="preserve">CONTRACT-067</t>
  </si>
  <si>
    <t xml:space="preserve">CONTRACT-068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</si>
</sst>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/dd/yyyy"/>
    <numFmt numFmtId="166" formatCode="0%"/>
    <numFmt numFmtId="167" formatCode="0"/>
    <numFmt numFmtId="168" formatCode="0.0%"/>
    <numFmt numFmtId="169" formatCode="0.0"/>
    <numFmt numFmtId="170" formatCode="_-[$€-2]\ * #,##0.00_-;\-[$€-2]\ * #,##0.00_-;_-[$€-2]\ * \-??_-;_-@_-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0"/>
  <sheetViews>
    <sheetView showFormulas="false" showGridLines="true" showRowColHeaders="true" showZeros="true" rightToLeft="false" tabSelected="true" showOutlineSymbols="true" defaultGridColor="true" view="normal" topLeftCell="A129" colorId="64" zoomScale="100" zoomScaleNormal="100" zoomScalePageLayoutView="100" workbookViewId="0">
      <selection pane="topLeft" activeCell="A2" activeCellId="0" sqref="A2:A69"/>
    </sheetView>
  </sheetViews>
  <sheetFormatPr defaultColWidth="8.5078125" defaultRowHeight="15" customHeight="false" zeroHeight="false" outlineLevelRow="0" outlineLevelCol="0"/>
  <cols>
    <col collapsed="false" customWidth="true" hidden="false" outlineLevel="0" max="1" min="1" style="0" width="16.71"/>
    <col collapsed="false" customWidth="true" hidden="false" outlineLevel="0" max="2" min="2" style="0" width="32.29"/>
    <col collapsed="false" customWidth="true" hidden="false" outlineLevel="0" max="3" min="3" style="0" width="35.57"/>
    <col collapsed="false" customWidth="true" hidden="false" outlineLevel="0" max="4" min="4" style="0" width="20.42"/>
    <col collapsed="false" customWidth="true" hidden="false" outlineLevel="0" max="5" min="5" style="0" width="9.71"/>
    <col collapsed="false" customWidth="true" hidden="false" outlineLevel="0" max="6" min="6" style="0" width="7.57"/>
    <col collapsed="false" customWidth="true" hidden="false" outlineLevel="0" max="7" min="7" style="0" width="16.85"/>
    <col collapsed="false" customWidth="true" hidden="false" outlineLevel="0" max="8" min="8" style="0" width="17.29"/>
    <col collapsed="false" customWidth="true" hidden="false" outlineLevel="0" max="9" min="9" style="0" width="12"/>
    <col collapsed="false" customWidth="true" hidden="false" outlineLevel="0" max="10" min="10" style="0" width="13.57"/>
    <col collapsed="false" customWidth="true" hidden="false" outlineLevel="0" max="11" min="11" style="0" width="18.71"/>
    <col collapsed="false" customWidth="true" hidden="false" outlineLevel="0" max="12" min="12" style="0" width="16.29"/>
    <col collapsed="false" customWidth="true" hidden="false" outlineLevel="0" max="13" min="13" style="0" width="24.14"/>
    <col collapsed="false" customWidth="true" hidden="false" outlineLevel="0" max="14" min="14" style="0" width="9.71"/>
    <col collapsed="false" customWidth="true" hidden="false" outlineLevel="0" max="15" min="15" style="0" width="28.71"/>
    <col collapsed="false" customWidth="true" hidden="false" outlineLevel="0" max="16" min="16" style="0" width="20.29"/>
    <col collapsed="false" customWidth="true" hidden="false" outlineLevel="0" max="18" min="17" style="0" width="20.4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3" t="s">
        <v>17</v>
      </c>
      <c r="B2" s="3" t="n">
        <v>310100</v>
      </c>
      <c r="C2" s="3" t="s">
        <v>18</v>
      </c>
      <c r="D2" s="4" t="n">
        <v>45245</v>
      </c>
      <c r="E2" s="3" t="n">
        <v>60</v>
      </c>
      <c r="F2" s="3" t="n">
        <v>56</v>
      </c>
      <c r="G2" s="3" t="n">
        <v>3360</v>
      </c>
      <c r="H2" s="3" t="n">
        <v>0</v>
      </c>
      <c r="I2" s="3" t="n">
        <v>44800</v>
      </c>
      <c r="J2" s="5" t="n">
        <v>0.053</v>
      </c>
      <c r="K2" s="5" t="n">
        <v>0.075</v>
      </c>
      <c r="L2" s="5" t="n">
        <v>0.1</v>
      </c>
      <c r="M2" s="3" t="n">
        <v>0</v>
      </c>
      <c r="N2" s="3" t="n">
        <v>2374.4</v>
      </c>
      <c r="O2" s="6" t="n">
        <v>985.6</v>
      </c>
      <c r="P2" s="6" t="n">
        <f aca="false">L2*N2</f>
        <v>237.44</v>
      </c>
      <c r="Q2" s="7" t="n">
        <f aca="false">N2-P2</f>
        <v>2136.96</v>
      </c>
      <c r="R2" s="8" t="n">
        <f aca="false">J2/K2</f>
        <v>0.706666666666667</v>
      </c>
    </row>
    <row r="3" customFormat="false" ht="15" hidden="false" customHeight="false" outlineLevel="0" collapsed="false">
      <c r="A3" s="3" t="s">
        <v>19</v>
      </c>
      <c r="B3" s="3" t="n">
        <v>310100</v>
      </c>
      <c r="C3" s="3" t="s">
        <v>18</v>
      </c>
      <c r="D3" s="4" t="n">
        <v>45245</v>
      </c>
      <c r="E3" s="3" t="n">
        <v>60</v>
      </c>
      <c r="F3" s="3" t="n">
        <v>112</v>
      </c>
      <c r="G3" s="3" t="n">
        <v>6720</v>
      </c>
      <c r="H3" s="3" t="n">
        <v>0</v>
      </c>
      <c r="I3" s="3" t="n">
        <v>89600</v>
      </c>
      <c r="J3" s="5" t="n">
        <v>0.053</v>
      </c>
      <c r="K3" s="5" t="n">
        <v>0.075</v>
      </c>
      <c r="L3" s="5" t="n">
        <v>0.1</v>
      </c>
      <c r="M3" s="3" t="n">
        <v>0</v>
      </c>
      <c r="N3" s="3" t="n">
        <v>4748.8</v>
      </c>
      <c r="O3" s="6" t="n">
        <v>1971.2</v>
      </c>
      <c r="P3" s="6" t="n">
        <f aca="false">L3*N3</f>
        <v>474.88</v>
      </c>
      <c r="Q3" s="7" t="n">
        <f aca="false">N3-P3</f>
        <v>4273.92</v>
      </c>
      <c r="R3" s="8" t="n">
        <f aca="false">J3/K3</f>
        <v>0.706666666666667</v>
      </c>
    </row>
    <row r="4" customFormat="false" ht="15" hidden="false" customHeight="false" outlineLevel="0" collapsed="false">
      <c r="A4" s="3" t="s">
        <v>20</v>
      </c>
      <c r="B4" s="3" t="n">
        <v>310100</v>
      </c>
      <c r="C4" s="3" t="s">
        <v>18</v>
      </c>
      <c r="D4" s="4" t="n">
        <v>45245</v>
      </c>
      <c r="E4" s="3" t="n">
        <v>60</v>
      </c>
      <c r="F4" s="3" t="n">
        <v>161</v>
      </c>
      <c r="G4" s="3" t="n">
        <v>9660</v>
      </c>
      <c r="H4" s="3" t="n">
        <v>0</v>
      </c>
      <c r="I4" s="3" t="n">
        <v>128800</v>
      </c>
      <c r="J4" s="5" t="n">
        <v>0.053</v>
      </c>
      <c r="K4" s="5" t="n">
        <v>0.075</v>
      </c>
      <c r="L4" s="5" t="n">
        <v>0.1</v>
      </c>
      <c r="M4" s="3" t="n">
        <v>0</v>
      </c>
      <c r="N4" s="3" t="n">
        <v>6826.4</v>
      </c>
      <c r="O4" s="6" t="n">
        <v>2833.6</v>
      </c>
      <c r="P4" s="6" t="n">
        <f aca="false">L4*N4</f>
        <v>682.64</v>
      </c>
      <c r="Q4" s="7" t="n">
        <f aca="false">N4-P4</f>
        <v>6143.76</v>
      </c>
      <c r="R4" s="8" t="n">
        <f aca="false">J4/K4</f>
        <v>0.706666666666667</v>
      </c>
    </row>
    <row r="5" customFormat="false" ht="15" hidden="false" customHeight="false" outlineLevel="0" collapsed="false">
      <c r="A5" s="3" t="s">
        <v>21</v>
      </c>
      <c r="B5" s="3" t="n">
        <v>250460</v>
      </c>
      <c r="C5" s="3" t="s">
        <v>22</v>
      </c>
      <c r="D5" s="4" t="n">
        <v>45231</v>
      </c>
      <c r="E5" s="3" t="n">
        <v>60</v>
      </c>
      <c r="F5" s="3" t="n">
        <v>192</v>
      </c>
      <c r="G5" s="3" t="n">
        <v>11520</v>
      </c>
      <c r="H5" s="3" t="n">
        <v>0</v>
      </c>
      <c r="I5" s="3" t="n">
        <v>153600</v>
      </c>
      <c r="J5" s="5" t="n">
        <v>0.0505</v>
      </c>
      <c r="K5" s="5" t="n">
        <v>0.075</v>
      </c>
      <c r="L5" s="5" t="n">
        <v>0.1</v>
      </c>
      <c r="M5" s="3" t="n">
        <v>192</v>
      </c>
      <c r="N5" s="3" t="n">
        <v>7756.8</v>
      </c>
      <c r="O5" s="6" t="n">
        <v>3763.2</v>
      </c>
      <c r="P5" s="6" t="n">
        <f aca="false">L5*N5</f>
        <v>775.68</v>
      </c>
      <c r="Q5" s="7" t="n">
        <f aca="false">N5-P5</f>
        <v>6981.12</v>
      </c>
      <c r="R5" s="8" t="n">
        <f aca="false">J5/K5</f>
        <v>0.673333333333334</v>
      </c>
    </row>
    <row r="6" customFormat="false" ht="15" hidden="false" customHeight="false" outlineLevel="0" collapsed="false">
      <c r="A6" s="3" t="s">
        <v>23</v>
      </c>
      <c r="B6" s="3" t="n">
        <v>250460</v>
      </c>
      <c r="C6" s="3" t="s">
        <v>22</v>
      </c>
      <c r="D6" s="4" t="n">
        <v>45231</v>
      </c>
      <c r="E6" s="3" t="n">
        <v>60</v>
      </c>
      <c r="F6" s="3" t="n">
        <v>600</v>
      </c>
      <c r="G6" s="3" t="n">
        <v>36000</v>
      </c>
      <c r="H6" s="3" t="n">
        <v>0</v>
      </c>
      <c r="I6" s="3" t="n">
        <v>480000</v>
      </c>
      <c r="J6" s="5" t="n">
        <v>0.0505</v>
      </c>
      <c r="K6" s="5" t="n">
        <v>0.075</v>
      </c>
      <c r="L6" s="5" t="n">
        <v>0.1</v>
      </c>
      <c r="M6" s="3" t="n">
        <v>600</v>
      </c>
      <c r="N6" s="3" t="n">
        <v>24240</v>
      </c>
      <c r="O6" s="6" t="n">
        <v>11760</v>
      </c>
      <c r="P6" s="6" t="n">
        <f aca="false">L6*N6</f>
        <v>2424</v>
      </c>
      <c r="Q6" s="7" t="n">
        <f aca="false">N6-P6</f>
        <v>21816</v>
      </c>
      <c r="R6" s="8" t="n">
        <f aca="false">J6/K6</f>
        <v>0.673333333333334</v>
      </c>
    </row>
    <row r="7" customFormat="false" ht="15" hidden="false" customHeight="false" outlineLevel="0" collapsed="false">
      <c r="A7" s="3" t="s">
        <v>24</v>
      </c>
      <c r="B7" s="3" t="n">
        <v>271050</v>
      </c>
      <c r="C7" s="3" t="s">
        <v>25</v>
      </c>
      <c r="D7" s="4" t="n">
        <v>45231</v>
      </c>
      <c r="E7" s="3" t="n">
        <v>60</v>
      </c>
      <c r="F7" s="3" t="n">
        <v>51</v>
      </c>
      <c r="G7" s="3" t="n">
        <v>3060</v>
      </c>
      <c r="H7" s="3" t="n">
        <v>0</v>
      </c>
      <c r="I7" s="3" t="n">
        <v>40800</v>
      </c>
      <c r="J7" s="5" t="n">
        <v>0.048</v>
      </c>
      <c r="K7" s="5" t="n">
        <v>0.075</v>
      </c>
      <c r="L7" s="5" t="n">
        <v>0.1</v>
      </c>
      <c r="M7" s="3" t="n">
        <v>51</v>
      </c>
      <c r="N7" s="3" t="n">
        <v>1958.4</v>
      </c>
      <c r="O7" s="6" t="n">
        <v>1101.6</v>
      </c>
      <c r="P7" s="6" t="n">
        <f aca="false">L7*N7</f>
        <v>195.84</v>
      </c>
      <c r="Q7" s="7" t="n">
        <f aca="false">N7-P7</f>
        <v>1762.56</v>
      </c>
      <c r="R7" s="8" t="n">
        <f aca="false">J7/K7</f>
        <v>0.64</v>
      </c>
    </row>
    <row r="8" customFormat="false" ht="15" hidden="false" customHeight="false" outlineLevel="0" collapsed="false">
      <c r="A8" s="3" t="s">
        <v>26</v>
      </c>
      <c r="B8" s="3" t="n">
        <v>271050</v>
      </c>
      <c r="C8" s="3" t="s">
        <v>25</v>
      </c>
      <c r="D8" s="4" t="n">
        <v>45231</v>
      </c>
      <c r="E8" s="3" t="n">
        <v>60</v>
      </c>
      <c r="F8" s="3" t="n">
        <v>72</v>
      </c>
      <c r="G8" s="3" t="n">
        <v>4320</v>
      </c>
      <c r="H8" s="3" t="n">
        <v>0</v>
      </c>
      <c r="I8" s="3" t="n">
        <v>57600</v>
      </c>
      <c r="J8" s="5" t="n">
        <v>0.048</v>
      </c>
      <c r="K8" s="5" t="n">
        <v>0.075</v>
      </c>
      <c r="L8" s="5" t="n">
        <v>0.1</v>
      </c>
      <c r="M8" s="3" t="n">
        <v>72</v>
      </c>
      <c r="N8" s="3" t="n">
        <v>2764.8</v>
      </c>
      <c r="O8" s="6" t="n">
        <v>1555.2</v>
      </c>
      <c r="P8" s="6" t="n">
        <f aca="false">L8*N8</f>
        <v>276.48</v>
      </c>
      <c r="Q8" s="7" t="n">
        <f aca="false">N8-P8</f>
        <v>2488.32</v>
      </c>
      <c r="R8" s="8" t="n">
        <f aca="false">J8/K8</f>
        <v>0.64</v>
      </c>
    </row>
    <row r="9" customFormat="false" ht="15" hidden="false" customHeight="false" outlineLevel="0" collapsed="false">
      <c r="A9" s="3" t="s">
        <v>27</v>
      </c>
      <c r="B9" s="3" t="n">
        <v>271050</v>
      </c>
      <c r="C9" s="3" t="s">
        <v>25</v>
      </c>
      <c r="D9" s="4" t="n">
        <v>45231</v>
      </c>
      <c r="E9" s="3" t="n">
        <v>60</v>
      </c>
      <c r="F9" s="3" t="n">
        <v>51</v>
      </c>
      <c r="G9" s="3" t="n">
        <v>3060</v>
      </c>
      <c r="H9" s="3" t="n">
        <v>0</v>
      </c>
      <c r="I9" s="3" t="n">
        <v>40800</v>
      </c>
      <c r="J9" s="5" t="n">
        <v>0.048</v>
      </c>
      <c r="K9" s="5" t="n">
        <v>0.075</v>
      </c>
      <c r="L9" s="5" t="n">
        <v>0.1</v>
      </c>
      <c r="M9" s="3" t="n">
        <v>51</v>
      </c>
      <c r="N9" s="3" t="n">
        <v>1958.4</v>
      </c>
      <c r="O9" s="6" t="n">
        <v>1101.6</v>
      </c>
      <c r="P9" s="6" t="n">
        <f aca="false">L9*N9</f>
        <v>195.84</v>
      </c>
      <c r="Q9" s="7" t="n">
        <f aca="false">N9-P9</f>
        <v>1762.56</v>
      </c>
      <c r="R9" s="8" t="n">
        <f aca="false">J9/K9</f>
        <v>0.64</v>
      </c>
    </row>
    <row r="10" customFormat="false" ht="15" hidden="false" customHeight="false" outlineLevel="0" collapsed="false">
      <c r="A10" s="3" t="s">
        <v>28</v>
      </c>
      <c r="B10" s="3" t="n">
        <v>271496</v>
      </c>
      <c r="C10" s="3" t="s">
        <v>29</v>
      </c>
      <c r="D10" s="4" t="n">
        <v>45245</v>
      </c>
      <c r="E10" s="3" t="n">
        <v>60</v>
      </c>
      <c r="F10" s="3" t="n">
        <v>48</v>
      </c>
      <c r="G10" s="3" t="n">
        <v>2880</v>
      </c>
      <c r="H10" s="3" t="n">
        <v>0</v>
      </c>
      <c r="I10" s="3" t="n">
        <v>38400</v>
      </c>
      <c r="J10" s="5" t="n">
        <v>0.052</v>
      </c>
      <c r="K10" s="5" t="n">
        <v>0.075</v>
      </c>
      <c r="L10" s="5" t="n">
        <v>0.1</v>
      </c>
      <c r="M10" s="3" t="n">
        <v>0</v>
      </c>
      <c r="N10" s="3" t="n">
        <v>1996.8</v>
      </c>
      <c r="O10" s="6" t="n">
        <v>883.2</v>
      </c>
      <c r="P10" s="6" t="n">
        <f aca="false">L10*N10</f>
        <v>199.68</v>
      </c>
      <c r="Q10" s="7" t="n">
        <f aca="false">N10-P10</f>
        <v>1797.12</v>
      </c>
      <c r="R10" s="8" t="n">
        <f aca="false">J10/K10</f>
        <v>0.693333333333333</v>
      </c>
    </row>
    <row r="11" customFormat="false" ht="15" hidden="false" customHeight="false" outlineLevel="0" collapsed="false">
      <c r="A11" s="3" t="s">
        <v>30</v>
      </c>
      <c r="B11" s="3" t="n">
        <v>271496</v>
      </c>
      <c r="C11" s="3" t="s">
        <v>29</v>
      </c>
      <c r="D11" s="4" t="n">
        <v>45245</v>
      </c>
      <c r="E11" s="3" t="n">
        <v>60</v>
      </c>
      <c r="F11" s="3" t="n">
        <v>84</v>
      </c>
      <c r="G11" s="3" t="n">
        <v>5040</v>
      </c>
      <c r="H11" s="3" t="n">
        <v>0</v>
      </c>
      <c r="I11" s="3" t="n">
        <v>67200</v>
      </c>
      <c r="J11" s="5" t="n">
        <v>0.052</v>
      </c>
      <c r="K11" s="5" t="n">
        <v>0.075</v>
      </c>
      <c r="L11" s="5" t="n">
        <v>0.1</v>
      </c>
      <c r="M11" s="3" t="n">
        <v>0</v>
      </c>
      <c r="N11" s="3" t="n">
        <v>3494.4</v>
      </c>
      <c r="O11" s="6" t="n">
        <v>1545.6</v>
      </c>
      <c r="P11" s="6" t="n">
        <f aca="false">L11*N11</f>
        <v>349.44</v>
      </c>
      <c r="Q11" s="7" t="n">
        <f aca="false">N11-P11</f>
        <v>3144.96</v>
      </c>
      <c r="R11" s="8" t="n">
        <f aca="false">J11/K11</f>
        <v>0.693333333333333</v>
      </c>
    </row>
    <row r="12" customFormat="false" ht="15" hidden="false" customHeight="false" outlineLevel="0" collapsed="false">
      <c r="A12" s="3" t="s">
        <v>31</v>
      </c>
      <c r="B12" s="3" t="n">
        <v>271496</v>
      </c>
      <c r="C12" s="3" t="s">
        <v>29</v>
      </c>
      <c r="D12" s="4" t="n">
        <v>45214</v>
      </c>
      <c r="E12" s="3" t="n">
        <v>60</v>
      </c>
      <c r="F12" s="3" t="n">
        <v>56</v>
      </c>
      <c r="G12" s="3" t="n">
        <v>3360</v>
      </c>
      <c r="H12" s="3" t="n">
        <v>0</v>
      </c>
      <c r="I12" s="3" t="n">
        <v>44800</v>
      </c>
      <c r="J12" s="5" t="n">
        <v>0.052</v>
      </c>
      <c r="K12" s="5" t="n">
        <v>0.075</v>
      </c>
      <c r="L12" s="5" t="n">
        <v>0.1</v>
      </c>
      <c r="M12" s="3" t="n">
        <v>56</v>
      </c>
      <c r="N12" s="3" t="n">
        <v>2329.6</v>
      </c>
      <c r="O12" s="6" t="n">
        <v>1030.4</v>
      </c>
      <c r="P12" s="6" t="n">
        <f aca="false">L12*N12</f>
        <v>232.96</v>
      </c>
      <c r="Q12" s="7" t="n">
        <f aca="false">N12-P12</f>
        <v>2096.64</v>
      </c>
      <c r="R12" s="8" t="n">
        <f aca="false">J12/K12</f>
        <v>0.693333333333333</v>
      </c>
    </row>
    <row r="13" customFormat="false" ht="15" hidden="false" customHeight="false" outlineLevel="0" collapsed="false">
      <c r="A13" s="3" t="s">
        <v>32</v>
      </c>
      <c r="B13" s="3" t="n">
        <v>271496</v>
      </c>
      <c r="C13" s="3" t="s">
        <v>29</v>
      </c>
      <c r="D13" s="4" t="n">
        <v>45245</v>
      </c>
      <c r="E13" s="3" t="n">
        <v>60</v>
      </c>
      <c r="F13" s="3" t="n">
        <v>30</v>
      </c>
      <c r="G13" s="3" t="n">
        <v>1800</v>
      </c>
      <c r="H13" s="3" t="n">
        <v>0</v>
      </c>
      <c r="I13" s="3" t="n">
        <v>24000</v>
      </c>
      <c r="J13" s="5" t="n">
        <v>0.052</v>
      </c>
      <c r="K13" s="5" t="n">
        <v>0.075</v>
      </c>
      <c r="L13" s="5" t="n">
        <v>0.1</v>
      </c>
      <c r="M13" s="3" t="n">
        <v>0</v>
      </c>
      <c r="N13" s="3" t="n">
        <v>1248</v>
      </c>
      <c r="O13" s="6" t="n">
        <v>552</v>
      </c>
      <c r="P13" s="6" t="n">
        <f aca="false">L13*N13</f>
        <v>124.8</v>
      </c>
      <c r="Q13" s="7" t="n">
        <f aca="false">N13-P13</f>
        <v>1123.2</v>
      </c>
      <c r="R13" s="8" t="n">
        <f aca="false">J13/K13</f>
        <v>0.693333333333333</v>
      </c>
    </row>
    <row r="14" customFormat="false" ht="15" hidden="false" customHeight="false" outlineLevel="0" collapsed="false">
      <c r="A14" s="3" t="s">
        <v>33</v>
      </c>
      <c r="B14" s="3" t="n">
        <v>271496</v>
      </c>
      <c r="C14" s="3" t="s">
        <v>29</v>
      </c>
      <c r="D14" s="4" t="n">
        <v>45243</v>
      </c>
      <c r="E14" s="3" t="n">
        <v>60</v>
      </c>
      <c r="F14" s="3" t="n">
        <v>90</v>
      </c>
      <c r="G14" s="3" t="n">
        <v>5400</v>
      </c>
      <c r="H14" s="3" t="n">
        <v>0</v>
      </c>
      <c r="I14" s="3" t="n">
        <v>72000</v>
      </c>
      <c r="J14" s="5" t="n">
        <v>0.052</v>
      </c>
      <c r="K14" s="5" t="n">
        <v>0.075</v>
      </c>
      <c r="L14" s="5" t="n">
        <v>0.1</v>
      </c>
      <c r="M14" s="3" t="n">
        <v>90</v>
      </c>
      <c r="N14" s="3" t="n">
        <v>3744</v>
      </c>
      <c r="O14" s="6" t="n">
        <v>1656</v>
      </c>
      <c r="P14" s="6" t="n">
        <f aca="false">L14*N14</f>
        <v>374.4</v>
      </c>
      <c r="Q14" s="7" t="n">
        <f aca="false">N14-P14</f>
        <v>3369.6</v>
      </c>
      <c r="R14" s="8" t="n">
        <f aca="false">J14/K14</f>
        <v>0.693333333333333</v>
      </c>
    </row>
    <row r="15" customFormat="false" ht="15" hidden="false" customHeight="false" outlineLevel="0" collapsed="false">
      <c r="A15" s="3" t="s">
        <v>34</v>
      </c>
      <c r="B15" s="3" t="n">
        <v>271496</v>
      </c>
      <c r="C15" s="3" t="s">
        <v>29</v>
      </c>
      <c r="D15" s="4" t="n">
        <v>45245</v>
      </c>
      <c r="E15" s="3" t="n">
        <v>60</v>
      </c>
      <c r="F15" s="3" t="n">
        <v>30</v>
      </c>
      <c r="G15" s="3" t="n">
        <v>1800</v>
      </c>
      <c r="H15" s="3" t="n">
        <v>0</v>
      </c>
      <c r="I15" s="3" t="n">
        <v>24000</v>
      </c>
      <c r="J15" s="5" t="n">
        <v>0.052</v>
      </c>
      <c r="K15" s="5" t="n">
        <v>0.075</v>
      </c>
      <c r="L15" s="5" t="n">
        <v>0.1</v>
      </c>
      <c r="M15" s="3" t="n">
        <v>0</v>
      </c>
      <c r="N15" s="3" t="n">
        <v>1248</v>
      </c>
      <c r="O15" s="6" t="n">
        <v>552</v>
      </c>
      <c r="P15" s="6" t="n">
        <f aca="false">L15*N15</f>
        <v>124.8</v>
      </c>
      <c r="Q15" s="7" t="n">
        <f aca="false">N15-P15</f>
        <v>1123.2</v>
      </c>
      <c r="R15" s="8" t="n">
        <f aca="false">J15/K15</f>
        <v>0.693333333333333</v>
      </c>
    </row>
    <row r="16" customFormat="false" ht="15" hidden="false" customHeight="false" outlineLevel="0" collapsed="false">
      <c r="A16" s="3" t="s">
        <v>35</v>
      </c>
      <c r="B16" s="3" t="n">
        <v>271496</v>
      </c>
      <c r="C16" s="3" t="s">
        <v>29</v>
      </c>
      <c r="D16" s="4" t="n">
        <v>45243</v>
      </c>
      <c r="E16" s="3" t="n">
        <v>60</v>
      </c>
      <c r="F16" s="3" t="n">
        <v>60</v>
      </c>
      <c r="G16" s="3" t="n">
        <v>3600</v>
      </c>
      <c r="H16" s="3" t="n">
        <v>0</v>
      </c>
      <c r="I16" s="3" t="n">
        <v>48000</v>
      </c>
      <c r="J16" s="5" t="n">
        <v>0.052</v>
      </c>
      <c r="K16" s="5" t="n">
        <v>0.075</v>
      </c>
      <c r="L16" s="5" t="n">
        <v>0.1</v>
      </c>
      <c r="M16" s="3" t="n">
        <v>60</v>
      </c>
      <c r="N16" s="3" t="n">
        <v>2496</v>
      </c>
      <c r="O16" s="6" t="n">
        <v>1104</v>
      </c>
      <c r="P16" s="6" t="n">
        <f aca="false">L16*N16</f>
        <v>249.6</v>
      </c>
      <c r="Q16" s="7" t="n">
        <f aca="false">N16-P16</f>
        <v>2246.4</v>
      </c>
      <c r="R16" s="8" t="n">
        <f aca="false">J16/K16</f>
        <v>0.693333333333333</v>
      </c>
    </row>
    <row r="17" customFormat="false" ht="15" hidden="false" customHeight="false" outlineLevel="0" collapsed="false">
      <c r="A17" s="3" t="s">
        <v>36</v>
      </c>
      <c r="B17" s="3" t="n">
        <v>271496</v>
      </c>
      <c r="C17" s="3" t="s">
        <v>29</v>
      </c>
      <c r="D17" s="4" t="n">
        <v>45240</v>
      </c>
      <c r="E17" s="3" t="n">
        <v>60</v>
      </c>
      <c r="F17" s="3" t="n">
        <v>30</v>
      </c>
      <c r="G17" s="3" t="n">
        <v>1800</v>
      </c>
      <c r="H17" s="3" t="n">
        <v>0</v>
      </c>
      <c r="I17" s="3" t="n">
        <v>24000</v>
      </c>
      <c r="J17" s="5" t="n">
        <v>0.052</v>
      </c>
      <c r="K17" s="5" t="n">
        <v>0.075</v>
      </c>
      <c r="L17" s="5" t="n">
        <v>0.1</v>
      </c>
      <c r="M17" s="3" t="n">
        <v>30</v>
      </c>
      <c r="N17" s="3" t="n">
        <v>1248</v>
      </c>
      <c r="O17" s="6" t="n">
        <v>552</v>
      </c>
      <c r="P17" s="6" t="n">
        <f aca="false">L17*N17</f>
        <v>124.8</v>
      </c>
      <c r="Q17" s="7" t="n">
        <f aca="false">N17-P17</f>
        <v>1123.2</v>
      </c>
      <c r="R17" s="8" t="n">
        <f aca="false">J17/K17</f>
        <v>0.693333333333333</v>
      </c>
    </row>
    <row r="18" customFormat="false" ht="15" hidden="false" customHeight="false" outlineLevel="0" collapsed="false">
      <c r="A18" s="3" t="s">
        <v>37</v>
      </c>
      <c r="B18" s="3" t="n">
        <v>271496</v>
      </c>
      <c r="C18" s="3" t="s">
        <v>29</v>
      </c>
      <c r="D18" s="4" t="n">
        <v>45245</v>
      </c>
      <c r="E18" s="3" t="n">
        <v>60</v>
      </c>
      <c r="F18" s="3" t="n">
        <v>36</v>
      </c>
      <c r="G18" s="3" t="n">
        <v>2160</v>
      </c>
      <c r="H18" s="3" t="n">
        <v>0</v>
      </c>
      <c r="I18" s="3" t="n">
        <v>28800</v>
      </c>
      <c r="J18" s="5" t="n">
        <v>0.052</v>
      </c>
      <c r="K18" s="5" t="n">
        <v>0.075</v>
      </c>
      <c r="L18" s="5" t="n">
        <v>0.1</v>
      </c>
      <c r="M18" s="3" t="n">
        <v>0</v>
      </c>
      <c r="N18" s="3" t="n">
        <v>1497.6</v>
      </c>
      <c r="O18" s="6" t="n">
        <v>662.4</v>
      </c>
      <c r="P18" s="6" t="n">
        <f aca="false">L18*N18</f>
        <v>149.76</v>
      </c>
      <c r="Q18" s="7" t="n">
        <f aca="false">N18-P18</f>
        <v>1347.84</v>
      </c>
      <c r="R18" s="8" t="n">
        <f aca="false">J18/K18</f>
        <v>0.693333333333333</v>
      </c>
    </row>
    <row r="19" customFormat="false" ht="15" hidden="false" customHeight="false" outlineLevel="0" collapsed="false">
      <c r="A19" s="3" t="s">
        <v>38</v>
      </c>
      <c r="B19" s="3" t="n">
        <v>271496</v>
      </c>
      <c r="C19" s="3" t="s">
        <v>29</v>
      </c>
      <c r="D19" s="4" t="n">
        <v>45245</v>
      </c>
      <c r="E19" s="3" t="n">
        <v>60</v>
      </c>
      <c r="F19" s="3" t="n">
        <v>30</v>
      </c>
      <c r="G19" s="3" t="n">
        <v>1800</v>
      </c>
      <c r="H19" s="3" t="n">
        <v>0</v>
      </c>
      <c r="I19" s="3" t="n">
        <v>24000</v>
      </c>
      <c r="J19" s="5" t="n">
        <v>0.052</v>
      </c>
      <c r="K19" s="5" t="n">
        <v>0.075</v>
      </c>
      <c r="L19" s="5" t="n">
        <v>0.1</v>
      </c>
      <c r="M19" s="3" t="n">
        <v>0</v>
      </c>
      <c r="N19" s="3" t="n">
        <v>1248</v>
      </c>
      <c r="O19" s="6" t="n">
        <v>552</v>
      </c>
      <c r="P19" s="6" t="n">
        <f aca="false">L19*N19</f>
        <v>124.8</v>
      </c>
      <c r="Q19" s="7" t="n">
        <f aca="false">N19-P19</f>
        <v>1123.2</v>
      </c>
      <c r="R19" s="8" t="n">
        <f aca="false">J19/K19</f>
        <v>0.693333333333333</v>
      </c>
    </row>
    <row r="20" customFormat="false" ht="15" hidden="false" customHeight="false" outlineLevel="0" collapsed="false">
      <c r="A20" s="3" t="s">
        <v>39</v>
      </c>
      <c r="B20" s="3" t="n">
        <v>270854</v>
      </c>
      <c r="C20" s="3" t="s">
        <v>40</v>
      </c>
      <c r="D20" s="4" t="n">
        <v>45231</v>
      </c>
      <c r="E20" s="3" t="n">
        <v>60</v>
      </c>
      <c r="F20" s="3" t="n">
        <v>12.6</v>
      </c>
      <c r="G20" s="3" t="n">
        <v>756</v>
      </c>
      <c r="H20" s="3" t="n">
        <v>0</v>
      </c>
      <c r="I20" s="3" t="n">
        <v>10800</v>
      </c>
      <c r="J20" s="5" t="n">
        <v>0.02625</v>
      </c>
      <c r="K20" s="5" t="n">
        <v>0.07</v>
      </c>
      <c r="L20" s="5" t="n">
        <v>0.1</v>
      </c>
      <c r="M20" s="3" t="n">
        <v>12.6</v>
      </c>
      <c r="N20" s="3" t="n">
        <v>283.5</v>
      </c>
      <c r="O20" s="6" t="n">
        <v>472.5</v>
      </c>
      <c r="P20" s="6" t="n">
        <f aca="false">L20*N20</f>
        <v>28.35</v>
      </c>
      <c r="Q20" s="7" t="n">
        <f aca="false">N20-P20</f>
        <v>255.15</v>
      </c>
      <c r="R20" s="8" t="n">
        <f aca="false">J20/K20</f>
        <v>0.375</v>
      </c>
    </row>
    <row r="21" customFormat="false" ht="15" hidden="false" customHeight="false" outlineLevel="0" collapsed="false">
      <c r="A21" s="3" t="s">
        <v>41</v>
      </c>
      <c r="B21" s="3" t="n">
        <v>242850</v>
      </c>
      <c r="C21" s="3" t="s">
        <v>42</v>
      </c>
      <c r="D21" s="4" t="n">
        <v>45231</v>
      </c>
      <c r="E21" s="3" t="n">
        <v>60</v>
      </c>
      <c r="F21" s="3" t="n">
        <v>31.5</v>
      </c>
      <c r="G21" s="3" t="n">
        <v>1890</v>
      </c>
      <c r="H21" s="3" t="n">
        <v>0</v>
      </c>
      <c r="I21" s="9" t="n">
        <v>19894.7368421053</v>
      </c>
      <c r="J21" s="5" t="n">
        <v>0.0715</v>
      </c>
      <c r="K21" s="5" t="n">
        <v>0.095</v>
      </c>
      <c r="L21" s="5" t="n">
        <v>0</v>
      </c>
      <c r="M21" s="3" t="n">
        <v>31.5</v>
      </c>
      <c r="N21" s="3" t="n">
        <v>1422.47</v>
      </c>
      <c r="O21" s="10" t="n">
        <v>467.525104895105</v>
      </c>
      <c r="P21" s="6" t="n">
        <f aca="false">L21*N21</f>
        <v>0</v>
      </c>
      <c r="Q21" s="7" t="n">
        <f aca="false">N21-P21</f>
        <v>1422.47</v>
      </c>
      <c r="R21" s="8" t="n">
        <f aca="false">J21/K21</f>
        <v>0.752631578947369</v>
      </c>
    </row>
    <row r="22" customFormat="false" ht="15" hidden="false" customHeight="false" outlineLevel="0" collapsed="false">
      <c r="A22" s="3" t="s">
        <v>43</v>
      </c>
      <c r="B22" s="3" t="n">
        <v>270870</v>
      </c>
      <c r="C22" s="3" t="s">
        <v>44</v>
      </c>
      <c r="D22" s="4" t="n">
        <v>45245</v>
      </c>
      <c r="E22" s="3" t="n">
        <v>60</v>
      </c>
      <c r="F22" s="3" t="n">
        <v>30</v>
      </c>
      <c r="G22" s="3" t="n">
        <v>1800</v>
      </c>
      <c r="H22" s="3" t="n">
        <v>0</v>
      </c>
      <c r="I22" s="3" t="n">
        <v>24000</v>
      </c>
      <c r="J22" s="5" t="n">
        <v>0.048</v>
      </c>
      <c r="K22" s="5" t="n">
        <v>0.075</v>
      </c>
      <c r="L22" s="5" t="n">
        <v>0.1</v>
      </c>
      <c r="M22" s="3" t="n">
        <v>0</v>
      </c>
      <c r="N22" s="3" t="n">
        <v>1152</v>
      </c>
      <c r="O22" s="6" t="n">
        <v>648</v>
      </c>
      <c r="P22" s="6" t="n">
        <f aca="false">L22*N22</f>
        <v>115.2</v>
      </c>
      <c r="Q22" s="7" t="n">
        <f aca="false">N22-P22</f>
        <v>1036.8</v>
      </c>
      <c r="R22" s="8" t="n">
        <f aca="false">J22/K22</f>
        <v>0.64</v>
      </c>
    </row>
    <row r="23" customFormat="false" ht="15" hidden="false" customHeight="false" outlineLevel="0" collapsed="false">
      <c r="A23" s="3" t="s">
        <v>45</v>
      </c>
      <c r="B23" s="3" t="n">
        <v>270870</v>
      </c>
      <c r="C23" s="3" t="s">
        <v>44</v>
      </c>
      <c r="D23" s="4" t="n">
        <v>45245</v>
      </c>
      <c r="E23" s="3" t="n">
        <v>60</v>
      </c>
      <c r="F23" s="3" t="n">
        <v>30</v>
      </c>
      <c r="G23" s="3" t="n">
        <v>1800</v>
      </c>
      <c r="H23" s="3" t="n">
        <v>0</v>
      </c>
      <c r="I23" s="3" t="n">
        <v>24000</v>
      </c>
      <c r="J23" s="5" t="n">
        <v>0.048</v>
      </c>
      <c r="K23" s="5" t="n">
        <v>0.075</v>
      </c>
      <c r="L23" s="5" t="n">
        <v>0.1</v>
      </c>
      <c r="M23" s="3" t="n">
        <v>0</v>
      </c>
      <c r="N23" s="3" t="n">
        <v>1152</v>
      </c>
      <c r="O23" s="6" t="n">
        <v>648</v>
      </c>
      <c r="P23" s="6" t="n">
        <f aca="false">L23*N23</f>
        <v>115.2</v>
      </c>
      <c r="Q23" s="7" t="n">
        <f aca="false">N23-P23</f>
        <v>1036.8</v>
      </c>
      <c r="R23" s="8" t="n">
        <f aca="false">J23/K23</f>
        <v>0.64</v>
      </c>
    </row>
    <row r="24" customFormat="false" ht="15" hidden="false" customHeight="false" outlineLevel="0" collapsed="false">
      <c r="A24" s="3" t="s">
        <v>46</v>
      </c>
      <c r="B24" s="3" t="n">
        <v>270870</v>
      </c>
      <c r="C24" s="3" t="s">
        <v>44</v>
      </c>
      <c r="D24" s="4" t="n">
        <v>45245</v>
      </c>
      <c r="E24" s="3" t="n">
        <v>60</v>
      </c>
      <c r="F24" s="3" t="n">
        <v>30</v>
      </c>
      <c r="G24" s="3" t="n">
        <v>1800</v>
      </c>
      <c r="H24" s="3" t="n">
        <v>0</v>
      </c>
      <c r="I24" s="3" t="n">
        <v>24000</v>
      </c>
      <c r="J24" s="5" t="n">
        <v>0.048</v>
      </c>
      <c r="K24" s="5" t="n">
        <v>0.075</v>
      </c>
      <c r="L24" s="5" t="n">
        <v>0.1</v>
      </c>
      <c r="M24" s="3" t="n">
        <v>0</v>
      </c>
      <c r="N24" s="3" t="n">
        <v>1152</v>
      </c>
      <c r="O24" s="6" t="n">
        <v>648</v>
      </c>
      <c r="P24" s="6" t="n">
        <f aca="false">L24*N24</f>
        <v>115.2</v>
      </c>
      <c r="Q24" s="7" t="n">
        <f aca="false">N24-P24</f>
        <v>1036.8</v>
      </c>
      <c r="R24" s="8" t="n">
        <f aca="false">J24/K24</f>
        <v>0.64</v>
      </c>
    </row>
    <row r="25" customFormat="false" ht="15" hidden="false" customHeight="false" outlineLevel="0" collapsed="false">
      <c r="A25" s="3" t="s">
        <v>47</v>
      </c>
      <c r="B25" s="3" t="n">
        <v>270870</v>
      </c>
      <c r="C25" s="3" t="s">
        <v>44</v>
      </c>
      <c r="D25" s="4" t="n">
        <v>45245</v>
      </c>
      <c r="E25" s="3" t="n">
        <v>60</v>
      </c>
      <c r="F25" s="3" t="n">
        <v>30</v>
      </c>
      <c r="G25" s="3" t="n">
        <v>1800</v>
      </c>
      <c r="H25" s="3" t="n">
        <v>0</v>
      </c>
      <c r="I25" s="3" t="n">
        <v>24000</v>
      </c>
      <c r="J25" s="5" t="n">
        <v>0.048</v>
      </c>
      <c r="K25" s="5" t="n">
        <v>0.075</v>
      </c>
      <c r="L25" s="5" t="n">
        <v>0.1</v>
      </c>
      <c r="M25" s="3" t="n">
        <v>0</v>
      </c>
      <c r="N25" s="3" t="n">
        <v>1152</v>
      </c>
      <c r="O25" s="6" t="n">
        <v>648</v>
      </c>
      <c r="P25" s="6" t="n">
        <f aca="false">L25*N25</f>
        <v>115.2</v>
      </c>
      <c r="Q25" s="7" t="n">
        <f aca="false">N25-P25</f>
        <v>1036.8</v>
      </c>
      <c r="R25" s="8" t="n">
        <f aca="false">J25/K25</f>
        <v>0.64</v>
      </c>
    </row>
    <row r="26" customFormat="false" ht="15" hidden="false" customHeight="false" outlineLevel="0" collapsed="false">
      <c r="A26" s="3" t="s">
        <v>48</v>
      </c>
      <c r="B26" s="3" t="n">
        <v>271458</v>
      </c>
      <c r="C26" s="3" t="s">
        <v>49</v>
      </c>
      <c r="D26" s="4" t="n">
        <v>45231</v>
      </c>
      <c r="E26" s="3" t="n">
        <v>60</v>
      </c>
      <c r="F26" s="3" t="n">
        <v>140</v>
      </c>
      <c r="G26" s="3" t="n">
        <v>8400</v>
      </c>
      <c r="H26" s="3" t="n">
        <v>0</v>
      </c>
      <c r="I26" s="3" t="n">
        <v>112000</v>
      </c>
      <c r="J26" s="5" t="n">
        <v>0.048</v>
      </c>
      <c r="K26" s="5" t="n">
        <v>0.075</v>
      </c>
      <c r="L26" s="5" t="n">
        <v>0.1</v>
      </c>
      <c r="M26" s="3" t="n">
        <v>140</v>
      </c>
      <c r="N26" s="3" t="n">
        <v>5376</v>
      </c>
      <c r="O26" s="6" t="n">
        <v>3024</v>
      </c>
      <c r="P26" s="6" t="n">
        <f aca="false">L26*N26</f>
        <v>537.6</v>
      </c>
      <c r="Q26" s="7" t="n">
        <f aca="false">N26-P26</f>
        <v>4838.4</v>
      </c>
      <c r="R26" s="8" t="n">
        <f aca="false">J26/K26</f>
        <v>0.64</v>
      </c>
    </row>
    <row r="27" customFormat="false" ht="15" hidden="false" customHeight="false" outlineLevel="0" collapsed="false">
      <c r="A27" s="3" t="s">
        <v>50</v>
      </c>
      <c r="B27" s="3" t="n">
        <v>232550</v>
      </c>
      <c r="C27" s="3" t="s">
        <v>51</v>
      </c>
      <c r="D27" s="4" t="n">
        <v>45231</v>
      </c>
      <c r="E27" s="3" t="n">
        <v>60</v>
      </c>
      <c r="F27" s="3" t="n">
        <v>72</v>
      </c>
      <c r="G27" s="3" t="n">
        <v>4320</v>
      </c>
      <c r="H27" s="3" t="n">
        <v>0</v>
      </c>
      <c r="I27" s="3" t="n">
        <v>48000</v>
      </c>
      <c r="J27" s="5" t="n">
        <v>0.058</v>
      </c>
      <c r="K27" s="5" t="n">
        <v>0.09</v>
      </c>
      <c r="L27" s="5" t="n">
        <v>0.1</v>
      </c>
      <c r="M27" s="3" t="n">
        <v>72</v>
      </c>
      <c r="N27" s="3" t="n">
        <v>2784</v>
      </c>
      <c r="O27" s="6" t="n">
        <v>1536</v>
      </c>
      <c r="P27" s="6" t="n">
        <f aca="false">L27*N27</f>
        <v>278.4</v>
      </c>
      <c r="Q27" s="7" t="n">
        <f aca="false">N27-P27</f>
        <v>2505.6</v>
      </c>
      <c r="R27" s="8" t="n">
        <f aca="false">J27/K27</f>
        <v>0.644444444444445</v>
      </c>
    </row>
    <row r="28" customFormat="false" ht="15" hidden="false" customHeight="false" outlineLevel="0" collapsed="false">
      <c r="A28" s="3" t="s">
        <v>52</v>
      </c>
      <c r="B28" s="3" t="n">
        <v>232550</v>
      </c>
      <c r="C28" s="3" t="s">
        <v>51</v>
      </c>
      <c r="D28" s="4" t="n">
        <v>45231</v>
      </c>
      <c r="E28" s="3" t="n">
        <v>60</v>
      </c>
      <c r="F28" s="3" t="n">
        <v>76</v>
      </c>
      <c r="G28" s="3" t="n">
        <v>4560</v>
      </c>
      <c r="H28" s="3" t="n">
        <v>0</v>
      </c>
      <c r="I28" s="3" t="n">
        <v>48000</v>
      </c>
      <c r="J28" s="5" t="n">
        <v>0.0545</v>
      </c>
      <c r="K28" s="5" t="n">
        <v>0.095</v>
      </c>
      <c r="L28" s="5" t="n">
        <v>0.1</v>
      </c>
      <c r="M28" s="3" t="n">
        <v>76</v>
      </c>
      <c r="N28" s="3" t="n">
        <v>2616</v>
      </c>
      <c r="O28" s="6" t="n">
        <v>1944</v>
      </c>
      <c r="P28" s="6" t="n">
        <f aca="false">L28*N28</f>
        <v>261.6</v>
      </c>
      <c r="Q28" s="7" t="n">
        <f aca="false">N28-P28</f>
        <v>2354.4</v>
      </c>
      <c r="R28" s="8" t="n">
        <f aca="false">J28/K28</f>
        <v>0.573684210526316</v>
      </c>
    </row>
    <row r="29" customFormat="false" ht="15" hidden="false" customHeight="false" outlineLevel="0" collapsed="false">
      <c r="A29" s="3" t="s">
        <v>53</v>
      </c>
      <c r="B29" s="3" t="n">
        <v>270990</v>
      </c>
      <c r="C29" s="3" t="s">
        <v>54</v>
      </c>
      <c r="D29" s="4" t="n">
        <v>45231</v>
      </c>
      <c r="E29" s="3" t="n">
        <v>60</v>
      </c>
      <c r="F29" s="3" t="n">
        <v>38</v>
      </c>
      <c r="G29" s="3" t="n">
        <v>2280</v>
      </c>
      <c r="H29" s="3" t="n">
        <v>0</v>
      </c>
      <c r="I29" s="3" t="n">
        <v>24000</v>
      </c>
      <c r="J29" s="5" t="n">
        <v>0.064</v>
      </c>
      <c r="K29" s="5" t="n">
        <v>0.095</v>
      </c>
      <c r="L29" s="5" t="n">
        <v>0.1</v>
      </c>
      <c r="M29" s="3" t="n">
        <v>38</v>
      </c>
      <c r="N29" s="3" t="n">
        <v>1536</v>
      </c>
      <c r="O29" s="6" t="n">
        <v>744</v>
      </c>
      <c r="P29" s="6" t="n">
        <f aca="false">L29*N29</f>
        <v>153.6</v>
      </c>
      <c r="Q29" s="7" t="n">
        <f aca="false">N29-P29</f>
        <v>1382.4</v>
      </c>
      <c r="R29" s="8" t="n">
        <f aca="false">J29/K29</f>
        <v>0.673684210526316</v>
      </c>
    </row>
    <row r="30" customFormat="false" ht="15" hidden="false" customHeight="false" outlineLevel="0" collapsed="false">
      <c r="A30" s="3" t="s">
        <v>55</v>
      </c>
      <c r="B30" s="3" t="n">
        <v>270990</v>
      </c>
      <c r="C30" s="3" t="s">
        <v>54</v>
      </c>
      <c r="D30" s="4" t="n">
        <v>45231</v>
      </c>
      <c r="E30" s="3" t="n">
        <v>60</v>
      </c>
      <c r="F30" s="3" t="n">
        <v>45.6</v>
      </c>
      <c r="G30" s="3" t="n">
        <v>2736</v>
      </c>
      <c r="H30" s="3" t="n">
        <v>0</v>
      </c>
      <c r="I30" s="3" t="n">
        <v>28800</v>
      </c>
      <c r="J30" s="5" t="n">
        <v>0.064</v>
      </c>
      <c r="K30" s="5" t="n">
        <v>0.095</v>
      </c>
      <c r="L30" s="5" t="n">
        <v>0.1</v>
      </c>
      <c r="M30" s="3" t="n">
        <v>45.6</v>
      </c>
      <c r="N30" s="3" t="n">
        <v>1843.2</v>
      </c>
      <c r="O30" s="6" t="n">
        <v>892.8</v>
      </c>
      <c r="P30" s="6" t="n">
        <f aca="false">L30*N30</f>
        <v>184.32</v>
      </c>
      <c r="Q30" s="7" t="n">
        <f aca="false">N30-P30</f>
        <v>1658.88</v>
      </c>
      <c r="R30" s="8" t="n">
        <f aca="false">J30/K30</f>
        <v>0.673684210526316</v>
      </c>
    </row>
    <row r="31" customFormat="false" ht="15" hidden="false" customHeight="false" outlineLevel="0" collapsed="false">
      <c r="A31" s="3" t="s">
        <v>56</v>
      </c>
      <c r="B31" s="3" t="n">
        <v>270970</v>
      </c>
      <c r="C31" s="3" t="s">
        <v>57</v>
      </c>
      <c r="D31" s="4" t="n">
        <v>45245</v>
      </c>
      <c r="E31" s="3" t="n">
        <v>60</v>
      </c>
      <c r="F31" s="3" t="n">
        <v>38</v>
      </c>
      <c r="G31" s="3" t="n">
        <v>2280</v>
      </c>
      <c r="H31" s="3" t="n">
        <v>0</v>
      </c>
      <c r="I31" s="3" t="n">
        <v>24000</v>
      </c>
      <c r="J31" s="5" t="n">
        <v>0.064</v>
      </c>
      <c r="K31" s="5" t="n">
        <v>0.095</v>
      </c>
      <c r="L31" s="5" t="n">
        <v>0.1</v>
      </c>
      <c r="M31" s="3" t="n">
        <v>0</v>
      </c>
      <c r="N31" s="3" t="n">
        <v>1536</v>
      </c>
      <c r="O31" s="6" t="n">
        <v>744</v>
      </c>
      <c r="P31" s="6" t="n">
        <f aca="false">L31*N31</f>
        <v>153.6</v>
      </c>
      <c r="Q31" s="7" t="n">
        <f aca="false">N31-P31</f>
        <v>1382.4</v>
      </c>
      <c r="R31" s="8" t="n">
        <f aca="false">J31/K31</f>
        <v>0.673684210526316</v>
      </c>
    </row>
    <row r="32" customFormat="false" ht="15" hidden="false" customHeight="false" outlineLevel="0" collapsed="false">
      <c r="A32" s="3" t="s">
        <v>58</v>
      </c>
      <c r="B32" s="3" t="n">
        <v>270970</v>
      </c>
      <c r="C32" s="3" t="s">
        <v>57</v>
      </c>
      <c r="D32" s="4" t="n">
        <v>45245</v>
      </c>
      <c r="E32" s="3" t="n">
        <v>60</v>
      </c>
      <c r="F32" s="3" t="n">
        <v>38</v>
      </c>
      <c r="G32" s="3" t="n">
        <v>2280</v>
      </c>
      <c r="H32" s="3" t="n">
        <v>0</v>
      </c>
      <c r="I32" s="3" t="n">
        <v>24000</v>
      </c>
      <c r="J32" s="5" t="n">
        <v>0.064</v>
      </c>
      <c r="K32" s="5" t="n">
        <v>0.095</v>
      </c>
      <c r="L32" s="5" t="n">
        <v>0.1</v>
      </c>
      <c r="M32" s="3" t="n">
        <v>0</v>
      </c>
      <c r="N32" s="3" t="n">
        <v>1536</v>
      </c>
      <c r="O32" s="6" t="n">
        <v>744</v>
      </c>
      <c r="P32" s="6" t="n">
        <f aca="false">L32*N32</f>
        <v>153.6</v>
      </c>
      <c r="Q32" s="7" t="n">
        <f aca="false">N32-P32</f>
        <v>1382.4</v>
      </c>
      <c r="R32" s="8" t="n">
        <f aca="false">J32/K32</f>
        <v>0.673684210526316</v>
      </c>
    </row>
    <row r="33" customFormat="false" ht="15" hidden="false" customHeight="false" outlineLevel="0" collapsed="false">
      <c r="A33" s="3" t="s">
        <v>59</v>
      </c>
      <c r="B33" s="3" t="n">
        <v>270970</v>
      </c>
      <c r="C33" s="3" t="s">
        <v>57</v>
      </c>
      <c r="D33" s="4" t="n">
        <v>45245</v>
      </c>
      <c r="E33" s="3" t="n">
        <v>60</v>
      </c>
      <c r="F33" s="3" t="n">
        <v>38</v>
      </c>
      <c r="G33" s="3" t="n">
        <v>2280</v>
      </c>
      <c r="H33" s="3" t="n">
        <v>0</v>
      </c>
      <c r="I33" s="3" t="n">
        <v>24000</v>
      </c>
      <c r="J33" s="5" t="n">
        <v>0.064</v>
      </c>
      <c r="K33" s="5" t="n">
        <v>0.095</v>
      </c>
      <c r="L33" s="5" t="n">
        <v>0.1</v>
      </c>
      <c r="M33" s="3" t="n">
        <v>0</v>
      </c>
      <c r="N33" s="3" t="n">
        <v>1536</v>
      </c>
      <c r="O33" s="6" t="n">
        <v>744</v>
      </c>
      <c r="P33" s="6" t="n">
        <f aca="false">L33*N33</f>
        <v>153.6</v>
      </c>
      <c r="Q33" s="7" t="n">
        <f aca="false">N33-P33</f>
        <v>1382.4</v>
      </c>
      <c r="R33" s="8" t="n">
        <f aca="false">J33/K33</f>
        <v>0.673684210526316</v>
      </c>
    </row>
    <row r="34" customFormat="false" ht="15" hidden="false" customHeight="false" outlineLevel="0" collapsed="false">
      <c r="A34" s="3" t="s">
        <v>60</v>
      </c>
      <c r="B34" s="3" t="n">
        <v>270970</v>
      </c>
      <c r="C34" s="3" t="s">
        <v>57</v>
      </c>
      <c r="D34" s="4" t="n">
        <v>45245</v>
      </c>
      <c r="E34" s="3" t="n">
        <v>60</v>
      </c>
      <c r="F34" s="3" t="n">
        <v>108</v>
      </c>
      <c r="G34" s="3" t="n">
        <v>6480</v>
      </c>
      <c r="H34" s="3" t="n">
        <v>0</v>
      </c>
      <c r="I34" s="3" t="n">
        <v>72000</v>
      </c>
      <c r="J34" s="5" t="n">
        <v>0.0675</v>
      </c>
      <c r="K34" s="5" t="n">
        <v>0.09</v>
      </c>
      <c r="L34" s="5" t="n">
        <v>0.1</v>
      </c>
      <c r="M34" s="3" t="n">
        <v>0</v>
      </c>
      <c r="N34" s="3" t="n">
        <v>4860</v>
      </c>
      <c r="O34" s="6" t="n">
        <v>1620</v>
      </c>
      <c r="P34" s="6" t="n">
        <f aca="false">L34*N34</f>
        <v>486</v>
      </c>
      <c r="Q34" s="7" t="n">
        <f aca="false">N34-P34</f>
        <v>4374</v>
      </c>
      <c r="R34" s="8" t="n">
        <f aca="false">J34/K34</f>
        <v>0.75</v>
      </c>
    </row>
    <row r="35" customFormat="false" ht="15" hidden="false" customHeight="false" outlineLevel="0" collapsed="false">
      <c r="A35" s="3" t="s">
        <v>61</v>
      </c>
      <c r="B35" s="3" t="n">
        <v>270970</v>
      </c>
      <c r="C35" s="3" t="s">
        <v>57</v>
      </c>
      <c r="D35" s="4" t="n">
        <v>45245</v>
      </c>
      <c r="E35" s="3" t="n">
        <v>60</v>
      </c>
      <c r="F35" s="3" t="n">
        <v>25.2</v>
      </c>
      <c r="G35" s="3" t="n">
        <v>1512</v>
      </c>
      <c r="H35" s="3" t="n">
        <v>0</v>
      </c>
      <c r="I35" s="3" t="n">
        <v>16800</v>
      </c>
      <c r="J35" s="5" t="n">
        <v>0.0675</v>
      </c>
      <c r="K35" s="5" t="n">
        <v>0.09</v>
      </c>
      <c r="L35" s="5" t="n">
        <v>0.1</v>
      </c>
      <c r="M35" s="3" t="n">
        <v>0</v>
      </c>
      <c r="N35" s="3" t="n">
        <v>1134</v>
      </c>
      <c r="O35" s="6" t="n">
        <v>378</v>
      </c>
      <c r="P35" s="6" t="n">
        <f aca="false">L35*N35</f>
        <v>113.4</v>
      </c>
      <c r="Q35" s="7" t="n">
        <f aca="false">N35-P35</f>
        <v>1020.6</v>
      </c>
      <c r="R35" s="8" t="n">
        <f aca="false">J35/K35</f>
        <v>0.75</v>
      </c>
    </row>
    <row r="36" customFormat="false" ht="15" hidden="false" customHeight="false" outlineLevel="0" collapsed="false">
      <c r="A36" s="3" t="s">
        <v>62</v>
      </c>
      <c r="B36" s="3" t="n">
        <v>270970</v>
      </c>
      <c r="C36" s="3" t="s">
        <v>57</v>
      </c>
      <c r="D36" s="4" t="n">
        <v>45245</v>
      </c>
      <c r="E36" s="3" t="n">
        <v>60</v>
      </c>
      <c r="F36" s="3" t="n">
        <v>76</v>
      </c>
      <c r="G36" s="3" t="n">
        <v>4560</v>
      </c>
      <c r="H36" s="3" t="n">
        <v>0</v>
      </c>
      <c r="I36" s="3" t="n">
        <v>48000</v>
      </c>
      <c r="J36" s="5" t="n">
        <v>0.064</v>
      </c>
      <c r="K36" s="5" t="n">
        <v>0.095</v>
      </c>
      <c r="L36" s="5" t="n">
        <v>0.1</v>
      </c>
      <c r="M36" s="3" t="n">
        <v>0</v>
      </c>
      <c r="N36" s="3" t="n">
        <v>3072</v>
      </c>
      <c r="O36" s="6" t="n">
        <v>1488</v>
      </c>
      <c r="P36" s="6" t="n">
        <f aca="false">L36*N36</f>
        <v>307.2</v>
      </c>
      <c r="Q36" s="7" t="n">
        <f aca="false">N36-P36</f>
        <v>2764.8</v>
      </c>
      <c r="R36" s="8" t="n">
        <f aca="false">J36/K36</f>
        <v>0.673684210526316</v>
      </c>
    </row>
    <row r="37" customFormat="false" ht="15" hidden="false" customHeight="false" outlineLevel="0" collapsed="false">
      <c r="A37" s="3" t="s">
        <v>63</v>
      </c>
      <c r="B37" s="3" t="n">
        <v>270970</v>
      </c>
      <c r="C37" s="3" t="s">
        <v>57</v>
      </c>
      <c r="D37" s="4" t="n">
        <v>45245</v>
      </c>
      <c r="E37" s="3" t="n">
        <v>60</v>
      </c>
      <c r="F37" s="3" t="n">
        <v>38</v>
      </c>
      <c r="G37" s="3" t="n">
        <v>2280</v>
      </c>
      <c r="H37" s="3" t="n">
        <v>0</v>
      </c>
      <c r="I37" s="3" t="n">
        <v>24000</v>
      </c>
      <c r="J37" s="5" t="n">
        <v>0.064</v>
      </c>
      <c r="K37" s="5" t="n">
        <v>0.095</v>
      </c>
      <c r="L37" s="5" t="n">
        <v>0.1</v>
      </c>
      <c r="M37" s="3" t="n">
        <v>0</v>
      </c>
      <c r="N37" s="3" t="n">
        <v>1536</v>
      </c>
      <c r="O37" s="6" t="n">
        <v>744</v>
      </c>
      <c r="P37" s="6" t="n">
        <f aca="false">L37*N37</f>
        <v>153.6</v>
      </c>
      <c r="Q37" s="7" t="n">
        <f aca="false">N37-P37</f>
        <v>1382.4</v>
      </c>
      <c r="R37" s="8" t="n">
        <f aca="false">J37/K37</f>
        <v>0.673684210526316</v>
      </c>
    </row>
    <row r="38" customFormat="false" ht="15" hidden="false" customHeight="false" outlineLevel="0" collapsed="false">
      <c r="A38" s="3" t="s">
        <v>64</v>
      </c>
      <c r="B38" s="3" t="n">
        <v>270970</v>
      </c>
      <c r="C38" s="3" t="s">
        <v>57</v>
      </c>
      <c r="D38" s="4" t="n">
        <v>45245</v>
      </c>
      <c r="E38" s="3" t="n">
        <v>60</v>
      </c>
      <c r="F38" s="3" t="n">
        <v>36.1</v>
      </c>
      <c r="G38" s="3" t="n">
        <v>2166</v>
      </c>
      <c r="H38" s="3" t="n">
        <v>0</v>
      </c>
      <c r="I38" s="3" t="n">
        <v>22800</v>
      </c>
      <c r="J38" s="5" t="n">
        <v>0.064</v>
      </c>
      <c r="K38" s="5" t="n">
        <v>0.095</v>
      </c>
      <c r="L38" s="5" t="n">
        <v>0.1</v>
      </c>
      <c r="M38" s="3" t="n">
        <v>0</v>
      </c>
      <c r="N38" s="3" t="n">
        <v>1459.2</v>
      </c>
      <c r="O38" s="6" t="n">
        <v>706.8</v>
      </c>
      <c r="P38" s="6" t="n">
        <f aca="false">L38*N38</f>
        <v>145.92</v>
      </c>
      <c r="Q38" s="7" t="n">
        <f aca="false">N38-P38</f>
        <v>1313.28</v>
      </c>
      <c r="R38" s="8" t="n">
        <f aca="false">J38/K38</f>
        <v>0.673684210526316</v>
      </c>
    </row>
    <row r="39" customFormat="false" ht="15" hidden="false" customHeight="false" outlineLevel="0" collapsed="false">
      <c r="A39" s="3" t="s">
        <v>65</v>
      </c>
      <c r="B39" s="3" t="n">
        <v>250120</v>
      </c>
      <c r="C39" s="3" t="s">
        <v>66</v>
      </c>
      <c r="D39" s="4" t="n">
        <v>45231</v>
      </c>
      <c r="E39" s="3" t="n">
        <v>60</v>
      </c>
      <c r="F39" s="3" t="n">
        <v>60</v>
      </c>
      <c r="G39" s="3" t="n">
        <v>3600</v>
      </c>
      <c r="H39" s="3" t="n">
        <v>0</v>
      </c>
      <c r="I39" s="3" t="n">
        <v>48000</v>
      </c>
      <c r="J39" s="5" t="n">
        <v>0.053</v>
      </c>
      <c r="K39" s="5" t="n">
        <v>0.075</v>
      </c>
      <c r="L39" s="5" t="n">
        <v>0.1</v>
      </c>
      <c r="M39" s="3" t="n">
        <v>60</v>
      </c>
      <c r="N39" s="3" t="n">
        <v>2544</v>
      </c>
      <c r="O39" s="6" t="n">
        <v>1056</v>
      </c>
      <c r="P39" s="6" t="n">
        <f aca="false">L39*N39</f>
        <v>254.4</v>
      </c>
      <c r="Q39" s="7" t="n">
        <f aca="false">N39-P39</f>
        <v>2289.6</v>
      </c>
      <c r="R39" s="8" t="n">
        <f aca="false">J39/K39</f>
        <v>0.706666666666667</v>
      </c>
    </row>
    <row r="40" customFormat="false" ht="15" hidden="false" customHeight="false" outlineLevel="0" collapsed="false">
      <c r="A40" s="3" t="s">
        <v>67</v>
      </c>
      <c r="B40" s="3" t="n">
        <v>250120</v>
      </c>
      <c r="C40" s="3" t="s">
        <v>66</v>
      </c>
      <c r="D40" s="4" t="n">
        <v>45245</v>
      </c>
      <c r="E40" s="3" t="n">
        <v>60</v>
      </c>
      <c r="F40" s="3" t="n">
        <v>42</v>
      </c>
      <c r="G40" s="3" t="n">
        <v>2520</v>
      </c>
      <c r="H40" s="3" t="n">
        <v>0</v>
      </c>
      <c r="I40" s="3" t="n">
        <v>36000</v>
      </c>
      <c r="J40" s="5" t="n">
        <v>0.055</v>
      </c>
      <c r="K40" s="5" t="n">
        <v>0.07</v>
      </c>
      <c r="L40" s="5" t="n">
        <v>0.1</v>
      </c>
      <c r="M40" s="3" t="n">
        <v>0</v>
      </c>
      <c r="N40" s="3" t="n">
        <v>1980</v>
      </c>
      <c r="O40" s="6" t="n">
        <v>540.000000000001</v>
      </c>
      <c r="P40" s="6" t="n">
        <f aca="false">L40*N40</f>
        <v>198</v>
      </c>
      <c r="Q40" s="7" t="n">
        <f aca="false">N40-P40</f>
        <v>1782</v>
      </c>
      <c r="R40" s="8" t="n">
        <f aca="false">J40/K40</f>
        <v>0.785714285714286</v>
      </c>
    </row>
    <row r="41" customFormat="false" ht="15" hidden="false" customHeight="false" outlineLevel="0" collapsed="false">
      <c r="A41" s="3" t="s">
        <v>68</v>
      </c>
      <c r="B41" s="3" t="n">
        <v>210011</v>
      </c>
      <c r="C41" s="3" t="s">
        <v>69</v>
      </c>
      <c r="D41" s="4" t="n">
        <v>45231</v>
      </c>
      <c r="E41" s="3" t="n">
        <v>60</v>
      </c>
      <c r="F41" s="3" t="n">
        <v>144</v>
      </c>
      <c r="G41" s="3" t="n">
        <v>8640</v>
      </c>
      <c r="H41" s="3" t="n">
        <v>0</v>
      </c>
      <c r="I41" s="3" t="n">
        <v>96000</v>
      </c>
      <c r="J41" s="5" t="n">
        <v>0.064</v>
      </c>
      <c r="K41" s="5" t="n">
        <v>0.09</v>
      </c>
      <c r="L41" s="5" t="n">
        <v>0.1</v>
      </c>
      <c r="M41" s="3" t="n">
        <v>0</v>
      </c>
      <c r="N41" s="3" t="n">
        <v>6144</v>
      </c>
      <c r="O41" s="6" t="n">
        <v>2496</v>
      </c>
      <c r="P41" s="6" t="n">
        <f aca="false">L41*N41</f>
        <v>614.4</v>
      </c>
      <c r="Q41" s="7" t="n">
        <f aca="false">N41-P41</f>
        <v>5529.6</v>
      </c>
      <c r="R41" s="8" t="n">
        <f aca="false">J41/K41</f>
        <v>0.711111111111111</v>
      </c>
    </row>
    <row r="42" customFormat="false" ht="15" hidden="false" customHeight="false" outlineLevel="0" collapsed="false">
      <c r="A42" s="3" t="s">
        <v>70</v>
      </c>
      <c r="B42" s="3" t="n">
        <v>210011</v>
      </c>
      <c r="C42" s="3" t="s">
        <v>69</v>
      </c>
      <c r="D42" s="4" t="n">
        <v>45245</v>
      </c>
      <c r="E42" s="3" t="n">
        <v>60</v>
      </c>
      <c r="F42" s="3" t="n">
        <v>47.25</v>
      </c>
      <c r="G42" s="3" t="n">
        <v>2835</v>
      </c>
      <c r="H42" s="3" t="n">
        <v>0</v>
      </c>
      <c r="I42" s="3" t="n">
        <v>31500</v>
      </c>
      <c r="J42" s="5" t="n">
        <v>0.064</v>
      </c>
      <c r="K42" s="5" t="n">
        <v>0.09</v>
      </c>
      <c r="L42" s="5" t="n">
        <v>0.1</v>
      </c>
      <c r="M42" s="3" t="n">
        <v>0</v>
      </c>
      <c r="N42" s="3" t="n">
        <v>2016</v>
      </c>
      <c r="O42" s="6" t="n">
        <v>819</v>
      </c>
      <c r="P42" s="6" t="n">
        <f aca="false">L42*N42</f>
        <v>201.6</v>
      </c>
      <c r="Q42" s="7" t="n">
        <f aca="false">N42-P42</f>
        <v>1814.4</v>
      </c>
      <c r="R42" s="8" t="n">
        <f aca="false">J42/K42</f>
        <v>0.711111111111111</v>
      </c>
    </row>
    <row r="43" customFormat="false" ht="15" hidden="false" customHeight="false" outlineLevel="0" collapsed="false">
      <c r="A43" s="3" t="s">
        <v>71</v>
      </c>
      <c r="B43" s="3" t="n">
        <v>210011</v>
      </c>
      <c r="C43" s="3" t="s">
        <v>69</v>
      </c>
      <c r="D43" s="4" t="n">
        <v>45231</v>
      </c>
      <c r="E43" s="3" t="n">
        <v>60</v>
      </c>
      <c r="F43" s="3" t="n">
        <v>60</v>
      </c>
      <c r="G43" s="3" t="n">
        <v>3600</v>
      </c>
      <c r="H43" s="3" t="n">
        <v>0</v>
      </c>
      <c r="I43" s="3" t="n">
        <v>48000</v>
      </c>
      <c r="J43" s="5" t="n">
        <v>0.048</v>
      </c>
      <c r="K43" s="5" t="n">
        <v>0.075</v>
      </c>
      <c r="L43" s="5" t="n">
        <v>0.1</v>
      </c>
      <c r="M43" s="3" t="n">
        <v>60</v>
      </c>
      <c r="N43" s="3" t="n">
        <v>2304</v>
      </c>
      <c r="O43" s="6" t="n">
        <v>1296</v>
      </c>
      <c r="P43" s="6" t="n">
        <f aca="false">L43*N43</f>
        <v>230.4</v>
      </c>
      <c r="Q43" s="7" t="n">
        <f aca="false">N43-P43</f>
        <v>2073.6</v>
      </c>
      <c r="R43" s="8" t="n">
        <f aca="false">J43/K43</f>
        <v>0.64</v>
      </c>
    </row>
    <row r="44" customFormat="false" ht="15" hidden="false" customHeight="false" outlineLevel="0" collapsed="false">
      <c r="A44" s="3" t="s">
        <v>72</v>
      </c>
      <c r="B44" s="3" t="n">
        <v>241730</v>
      </c>
      <c r="C44" s="3" t="s">
        <v>73</v>
      </c>
      <c r="D44" s="4" t="n">
        <v>45231</v>
      </c>
      <c r="E44" s="3" t="n">
        <v>60</v>
      </c>
      <c r="F44" s="3" t="n">
        <v>38</v>
      </c>
      <c r="G44" s="3" t="n">
        <v>2280</v>
      </c>
      <c r="H44" s="3" t="n">
        <v>0</v>
      </c>
      <c r="I44" s="3" t="n">
        <v>24000</v>
      </c>
      <c r="J44" s="5" t="n">
        <v>0.069</v>
      </c>
      <c r="K44" s="5" t="n">
        <v>0.095</v>
      </c>
      <c r="L44" s="5" t="n">
        <v>0.1</v>
      </c>
      <c r="M44" s="3" t="n">
        <v>38</v>
      </c>
      <c r="N44" s="3" t="n">
        <v>1656</v>
      </c>
      <c r="O44" s="6" t="n">
        <v>624</v>
      </c>
      <c r="P44" s="6" t="n">
        <f aca="false">L44*N44</f>
        <v>165.6</v>
      </c>
      <c r="Q44" s="7" t="n">
        <f aca="false">N44-P44</f>
        <v>1490.4</v>
      </c>
      <c r="R44" s="8" t="n">
        <f aca="false">J44/K44</f>
        <v>0.726315789473684</v>
      </c>
    </row>
    <row r="45" customFormat="false" ht="15" hidden="false" customHeight="false" outlineLevel="0" collapsed="false">
      <c r="A45" s="3" t="s">
        <v>74</v>
      </c>
      <c r="B45" s="3" t="n">
        <v>241730</v>
      </c>
      <c r="C45" s="3" t="s">
        <v>73</v>
      </c>
      <c r="D45" s="4" t="n">
        <v>45245</v>
      </c>
      <c r="E45" s="3" t="n">
        <v>60</v>
      </c>
      <c r="F45" s="3" t="n">
        <v>152</v>
      </c>
      <c r="G45" s="3" t="n">
        <v>9120</v>
      </c>
      <c r="H45" s="3" t="n">
        <v>0</v>
      </c>
      <c r="I45" s="3" t="n">
        <v>96000</v>
      </c>
      <c r="J45" s="5" t="n">
        <v>0.069</v>
      </c>
      <c r="K45" s="5" t="n">
        <v>0.095</v>
      </c>
      <c r="L45" s="5" t="n">
        <v>0.1</v>
      </c>
      <c r="M45" s="3" t="n">
        <v>0</v>
      </c>
      <c r="N45" s="3" t="n">
        <v>6624</v>
      </c>
      <c r="O45" s="6" t="n">
        <v>2496</v>
      </c>
      <c r="P45" s="6" t="n">
        <f aca="false">L45*N45</f>
        <v>662.4</v>
      </c>
      <c r="Q45" s="7" t="n">
        <f aca="false">N45-P45</f>
        <v>5961.6</v>
      </c>
      <c r="R45" s="8" t="n">
        <f aca="false">J45/K45</f>
        <v>0.726315789473684</v>
      </c>
    </row>
    <row r="46" customFormat="false" ht="15" hidden="false" customHeight="false" outlineLevel="0" collapsed="false">
      <c r="A46" s="3" t="s">
        <v>75</v>
      </c>
      <c r="B46" s="3" t="n">
        <v>241730</v>
      </c>
      <c r="C46" s="3" t="s">
        <v>73</v>
      </c>
      <c r="D46" s="4" t="n">
        <v>45245</v>
      </c>
      <c r="E46" s="3" t="n">
        <v>60</v>
      </c>
      <c r="F46" s="3" t="n">
        <v>108</v>
      </c>
      <c r="G46" s="3" t="n">
        <v>6480</v>
      </c>
      <c r="H46" s="3" t="n">
        <v>0</v>
      </c>
      <c r="I46" s="3" t="n">
        <v>72000</v>
      </c>
      <c r="J46" s="5" t="n">
        <v>0.071</v>
      </c>
      <c r="K46" s="5" t="n">
        <v>0.09</v>
      </c>
      <c r="L46" s="5" t="n">
        <v>0.1</v>
      </c>
      <c r="M46" s="3" t="n">
        <v>0</v>
      </c>
      <c r="N46" s="3" t="n">
        <v>5112</v>
      </c>
      <c r="O46" s="6" t="n">
        <v>1368</v>
      </c>
      <c r="P46" s="6" t="n">
        <f aca="false">L46*N46</f>
        <v>511.2</v>
      </c>
      <c r="Q46" s="7" t="n">
        <f aca="false">N46-P46</f>
        <v>4600.8</v>
      </c>
      <c r="R46" s="8" t="n">
        <f aca="false">J46/K46</f>
        <v>0.788888888888889</v>
      </c>
    </row>
    <row r="47" customFormat="false" ht="15" hidden="false" customHeight="false" outlineLevel="0" collapsed="false">
      <c r="A47" s="3" t="s">
        <v>76</v>
      </c>
      <c r="B47" s="3" t="n">
        <v>241730</v>
      </c>
      <c r="C47" s="3" t="s">
        <v>73</v>
      </c>
      <c r="D47" s="4" t="n">
        <v>45245</v>
      </c>
      <c r="E47" s="3" t="n">
        <v>60</v>
      </c>
      <c r="F47" s="3" t="n">
        <v>45.6</v>
      </c>
      <c r="G47" s="3" t="n">
        <v>2736</v>
      </c>
      <c r="H47" s="3" t="n">
        <v>0</v>
      </c>
      <c r="I47" s="3" t="n">
        <v>28800</v>
      </c>
      <c r="J47" s="5" t="n">
        <v>0.069</v>
      </c>
      <c r="K47" s="5" t="n">
        <v>0.095</v>
      </c>
      <c r="L47" s="5" t="n">
        <v>0.1</v>
      </c>
      <c r="M47" s="3" t="n">
        <v>0</v>
      </c>
      <c r="N47" s="3" t="n">
        <v>1987.2</v>
      </c>
      <c r="O47" s="6" t="n">
        <v>748.8</v>
      </c>
      <c r="P47" s="6" t="n">
        <f aca="false">L47*N47</f>
        <v>198.72</v>
      </c>
      <c r="Q47" s="7" t="n">
        <f aca="false">N47-P47</f>
        <v>1788.48</v>
      </c>
      <c r="R47" s="8" t="n">
        <f aca="false">J47/K47</f>
        <v>0.726315789473684</v>
      </c>
    </row>
    <row r="48" customFormat="false" ht="15" hidden="false" customHeight="false" outlineLevel="0" collapsed="false">
      <c r="A48" s="3" t="s">
        <v>77</v>
      </c>
      <c r="B48" s="3" t="n">
        <v>241730</v>
      </c>
      <c r="C48" s="3" t="s">
        <v>73</v>
      </c>
      <c r="D48" s="4" t="n">
        <v>45231</v>
      </c>
      <c r="E48" s="3" t="n">
        <v>60</v>
      </c>
      <c r="F48" s="3" t="n">
        <v>30</v>
      </c>
      <c r="G48" s="3" t="n">
        <v>1800</v>
      </c>
      <c r="H48" s="3" t="n">
        <v>0</v>
      </c>
      <c r="I48" s="3" t="n">
        <v>18947.3684210526</v>
      </c>
      <c r="J48" s="5" t="n">
        <v>0.069</v>
      </c>
      <c r="K48" s="5" t="n">
        <v>0.095</v>
      </c>
      <c r="L48" s="5" t="n">
        <v>0.1</v>
      </c>
      <c r="M48" s="3" t="n">
        <v>30</v>
      </c>
      <c r="N48" s="3" t="n">
        <v>1307.37</v>
      </c>
      <c r="O48" s="6" t="n">
        <v>492.632173913044</v>
      </c>
      <c r="P48" s="6" t="n">
        <f aca="false">L48*N48</f>
        <v>130.737</v>
      </c>
      <c r="Q48" s="7" t="n">
        <f aca="false">N48-P48</f>
        <v>1176.633</v>
      </c>
      <c r="R48" s="8" t="n">
        <f aca="false">J48/K48</f>
        <v>0.726315789473684</v>
      </c>
    </row>
    <row r="49" customFormat="false" ht="15" hidden="false" customHeight="false" outlineLevel="0" collapsed="false">
      <c r="A49" s="3" t="s">
        <v>78</v>
      </c>
      <c r="B49" s="3" t="n">
        <v>241730</v>
      </c>
      <c r="C49" s="3" t="s">
        <v>73</v>
      </c>
      <c r="D49" s="4" t="n">
        <v>45245</v>
      </c>
      <c r="E49" s="3" t="n">
        <v>60</v>
      </c>
      <c r="F49" s="3" t="n">
        <v>38</v>
      </c>
      <c r="G49" s="3" t="n">
        <v>2280</v>
      </c>
      <c r="H49" s="3" t="n">
        <v>0</v>
      </c>
      <c r="I49" s="3" t="n">
        <v>24000</v>
      </c>
      <c r="J49" s="5" t="n">
        <v>0.069</v>
      </c>
      <c r="K49" s="5" t="n">
        <v>0.095</v>
      </c>
      <c r="L49" s="5" t="n">
        <v>0.1</v>
      </c>
      <c r="M49" s="3" t="n">
        <v>0</v>
      </c>
      <c r="N49" s="3" t="n">
        <v>1656</v>
      </c>
      <c r="O49" s="6" t="n">
        <v>624</v>
      </c>
      <c r="P49" s="6" t="n">
        <f aca="false">L49*N49</f>
        <v>165.6</v>
      </c>
      <c r="Q49" s="7" t="n">
        <f aca="false">N49-P49</f>
        <v>1490.4</v>
      </c>
      <c r="R49" s="8" t="n">
        <f aca="false">J49/K49</f>
        <v>0.726315789473684</v>
      </c>
    </row>
    <row r="50" customFormat="false" ht="15" hidden="false" customHeight="false" outlineLevel="0" collapsed="false">
      <c r="A50" s="3" t="s">
        <v>79</v>
      </c>
      <c r="B50" s="3" t="n">
        <v>241730</v>
      </c>
      <c r="C50" s="3" t="s">
        <v>73</v>
      </c>
      <c r="D50" s="4" t="n">
        <v>45245</v>
      </c>
      <c r="E50" s="3" t="n">
        <v>60</v>
      </c>
      <c r="F50" s="3" t="n">
        <v>76</v>
      </c>
      <c r="G50" s="3" t="n">
        <v>4560</v>
      </c>
      <c r="H50" s="3" t="n">
        <v>0</v>
      </c>
      <c r="I50" s="3" t="n">
        <v>48000</v>
      </c>
      <c r="J50" s="5" t="n">
        <v>0.069</v>
      </c>
      <c r="K50" s="5" t="n">
        <v>0.095</v>
      </c>
      <c r="L50" s="5" t="n">
        <v>0.1</v>
      </c>
      <c r="M50" s="3" t="n">
        <v>0</v>
      </c>
      <c r="N50" s="3" t="n">
        <v>3312</v>
      </c>
      <c r="O50" s="6" t="n">
        <v>1248</v>
      </c>
      <c r="P50" s="6" t="n">
        <f aca="false">L50*N50</f>
        <v>331.2</v>
      </c>
      <c r="Q50" s="7" t="n">
        <f aca="false">N50-P50</f>
        <v>2980.8</v>
      </c>
      <c r="R50" s="8" t="n">
        <f aca="false">J50/K50</f>
        <v>0.726315789473684</v>
      </c>
    </row>
    <row r="51" customFormat="false" ht="15" hidden="false" customHeight="false" outlineLevel="0" collapsed="false">
      <c r="A51" s="3" t="s">
        <v>80</v>
      </c>
      <c r="B51" s="3" t="n">
        <v>241730</v>
      </c>
      <c r="C51" s="3" t="s">
        <v>73</v>
      </c>
      <c r="D51" s="4" t="n">
        <v>45245</v>
      </c>
      <c r="E51" s="3" t="n">
        <v>60</v>
      </c>
      <c r="F51" s="3" t="n">
        <v>38</v>
      </c>
      <c r="G51" s="3" t="n">
        <v>2280</v>
      </c>
      <c r="H51" s="3" t="n">
        <v>0</v>
      </c>
      <c r="I51" s="3" t="n">
        <v>24000</v>
      </c>
      <c r="J51" s="5" t="n">
        <v>0.069</v>
      </c>
      <c r="K51" s="5" t="n">
        <v>0.095</v>
      </c>
      <c r="L51" s="5" t="n">
        <v>0.1</v>
      </c>
      <c r="M51" s="3" t="n">
        <v>0</v>
      </c>
      <c r="N51" s="3" t="n">
        <v>1656</v>
      </c>
      <c r="O51" s="6" t="n">
        <v>624</v>
      </c>
      <c r="P51" s="6" t="n">
        <f aca="false">L51*N51</f>
        <v>165.6</v>
      </c>
      <c r="Q51" s="7" t="n">
        <f aca="false">N51-P51</f>
        <v>1490.4</v>
      </c>
      <c r="R51" s="8" t="n">
        <f aca="false">J51/K51</f>
        <v>0.726315789473684</v>
      </c>
    </row>
    <row r="52" customFormat="false" ht="15" hidden="false" customHeight="false" outlineLevel="0" collapsed="false">
      <c r="A52" s="3" t="s">
        <v>81</v>
      </c>
      <c r="B52" s="3" t="n">
        <v>241730</v>
      </c>
      <c r="C52" s="3" t="s">
        <v>73</v>
      </c>
      <c r="D52" s="4" t="n">
        <v>45245</v>
      </c>
      <c r="E52" s="3" t="n">
        <v>60</v>
      </c>
      <c r="F52" s="3" t="n">
        <v>57</v>
      </c>
      <c r="G52" s="3" t="n">
        <v>3420</v>
      </c>
      <c r="H52" s="3" t="n">
        <v>0</v>
      </c>
      <c r="I52" s="3" t="n">
        <v>36000</v>
      </c>
      <c r="J52" s="5" t="n">
        <v>0.069</v>
      </c>
      <c r="K52" s="5" t="n">
        <v>0.095</v>
      </c>
      <c r="L52" s="5" t="n">
        <v>0.1</v>
      </c>
      <c r="M52" s="3" t="n">
        <v>0</v>
      </c>
      <c r="N52" s="3" t="n">
        <v>2484</v>
      </c>
      <c r="O52" s="6" t="n">
        <v>936</v>
      </c>
      <c r="P52" s="6" t="n">
        <f aca="false">L52*N52</f>
        <v>248.4</v>
      </c>
      <c r="Q52" s="7" t="n">
        <f aca="false">N52-P52</f>
        <v>2235.6</v>
      </c>
      <c r="R52" s="8" t="n">
        <f aca="false">J52/K52</f>
        <v>0.726315789473684</v>
      </c>
    </row>
    <row r="53" customFormat="false" ht="15" hidden="false" customHeight="false" outlineLevel="0" collapsed="false">
      <c r="A53" s="3" t="s">
        <v>82</v>
      </c>
      <c r="B53" s="3" t="n">
        <v>241730</v>
      </c>
      <c r="C53" s="3" t="s">
        <v>73</v>
      </c>
      <c r="D53" s="4" t="n">
        <v>45245</v>
      </c>
      <c r="E53" s="3" t="n">
        <v>60</v>
      </c>
      <c r="F53" s="3" t="n">
        <v>32.4</v>
      </c>
      <c r="G53" s="3" t="n">
        <v>1944</v>
      </c>
      <c r="H53" s="3" t="n">
        <v>0</v>
      </c>
      <c r="I53" s="3" t="n">
        <v>21600</v>
      </c>
      <c r="J53" s="5" t="n">
        <v>0.071</v>
      </c>
      <c r="K53" s="5" t="n">
        <v>0.09</v>
      </c>
      <c r="L53" s="5" t="n">
        <v>0.1</v>
      </c>
      <c r="M53" s="3" t="n">
        <v>0</v>
      </c>
      <c r="N53" s="3" t="n">
        <v>1533.6</v>
      </c>
      <c r="O53" s="6" t="n">
        <v>410.4</v>
      </c>
      <c r="P53" s="6" t="n">
        <f aca="false">L53*N53</f>
        <v>153.36</v>
      </c>
      <c r="Q53" s="7" t="n">
        <f aca="false">N53-P53</f>
        <v>1380.24</v>
      </c>
      <c r="R53" s="8" t="n">
        <f aca="false">J53/K53</f>
        <v>0.788888888888889</v>
      </c>
    </row>
    <row r="54" customFormat="false" ht="15" hidden="false" customHeight="false" outlineLevel="0" collapsed="false">
      <c r="A54" s="3" t="s">
        <v>83</v>
      </c>
      <c r="B54" s="3" t="n">
        <v>241730</v>
      </c>
      <c r="C54" s="3" t="s">
        <v>73</v>
      </c>
      <c r="D54" s="4" t="n">
        <v>45245</v>
      </c>
      <c r="E54" s="3" t="n">
        <v>60</v>
      </c>
      <c r="F54" s="3" t="n">
        <v>190</v>
      </c>
      <c r="G54" s="3" t="n">
        <v>11400</v>
      </c>
      <c r="H54" s="3" t="n">
        <v>0</v>
      </c>
      <c r="I54" s="3" t="n">
        <v>120000</v>
      </c>
      <c r="J54" s="5" t="n">
        <v>0.069</v>
      </c>
      <c r="K54" s="5" t="n">
        <v>0.095</v>
      </c>
      <c r="L54" s="5" t="n">
        <v>0.1</v>
      </c>
      <c r="M54" s="3" t="n">
        <v>0</v>
      </c>
      <c r="N54" s="3" t="n">
        <v>8280</v>
      </c>
      <c r="O54" s="6" t="n">
        <v>3120</v>
      </c>
      <c r="P54" s="6" t="n">
        <f aca="false">L54*N54</f>
        <v>828</v>
      </c>
      <c r="Q54" s="7" t="n">
        <f aca="false">N54-P54</f>
        <v>7452</v>
      </c>
      <c r="R54" s="8" t="n">
        <f aca="false">J54/K54</f>
        <v>0.726315789473684</v>
      </c>
    </row>
    <row r="55" customFormat="false" ht="15" hidden="false" customHeight="false" outlineLevel="0" collapsed="false">
      <c r="A55" s="3" t="s">
        <v>84</v>
      </c>
      <c r="B55" s="3" t="n">
        <v>241730</v>
      </c>
      <c r="C55" s="3" t="s">
        <v>73</v>
      </c>
      <c r="D55" s="4" t="n">
        <v>45231</v>
      </c>
      <c r="E55" s="3" t="n">
        <v>60</v>
      </c>
      <c r="F55" s="3" t="n">
        <v>41.8</v>
      </c>
      <c r="G55" s="3" t="n">
        <v>2508</v>
      </c>
      <c r="H55" s="3" t="n">
        <v>0</v>
      </c>
      <c r="I55" s="3" t="n">
        <v>26400</v>
      </c>
      <c r="J55" s="5" t="n">
        <v>0.069</v>
      </c>
      <c r="K55" s="5" t="n">
        <v>0.095</v>
      </c>
      <c r="L55" s="5" t="n">
        <v>0.1</v>
      </c>
      <c r="M55" s="3" t="n">
        <v>41.8</v>
      </c>
      <c r="N55" s="3" t="n">
        <v>1821.6</v>
      </c>
      <c r="O55" s="6" t="n">
        <v>686.4</v>
      </c>
      <c r="P55" s="6" t="n">
        <f aca="false">L55*N55</f>
        <v>182.16</v>
      </c>
      <c r="Q55" s="7" t="n">
        <f aca="false">N55-P55</f>
        <v>1639.44</v>
      </c>
      <c r="R55" s="8" t="n">
        <f aca="false">J55/K55</f>
        <v>0.726315789473684</v>
      </c>
    </row>
    <row r="56" customFormat="false" ht="15" hidden="false" customHeight="false" outlineLevel="0" collapsed="false">
      <c r="A56" s="3" t="s">
        <v>85</v>
      </c>
      <c r="B56" s="3" t="n">
        <v>241730</v>
      </c>
      <c r="C56" s="3" t="s">
        <v>73</v>
      </c>
      <c r="D56" s="4" t="n">
        <v>45231</v>
      </c>
      <c r="E56" s="3" t="n">
        <v>60</v>
      </c>
      <c r="F56" s="3" t="n">
        <v>36</v>
      </c>
      <c r="G56" s="3" t="n">
        <v>2160</v>
      </c>
      <c r="H56" s="3" t="n">
        <v>0</v>
      </c>
      <c r="I56" s="3" t="n">
        <v>24000</v>
      </c>
      <c r="J56" s="5" t="n">
        <v>0.071</v>
      </c>
      <c r="K56" s="5" t="n">
        <v>0.09</v>
      </c>
      <c r="L56" s="5" t="n">
        <v>0.1</v>
      </c>
      <c r="M56" s="3" t="n">
        <v>36</v>
      </c>
      <c r="N56" s="3" t="n">
        <v>1704</v>
      </c>
      <c r="O56" s="6" t="n">
        <v>456</v>
      </c>
      <c r="P56" s="6" t="n">
        <f aca="false">L56*N56</f>
        <v>170.4</v>
      </c>
      <c r="Q56" s="7" t="n">
        <f aca="false">N56-P56</f>
        <v>1533.6</v>
      </c>
      <c r="R56" s="8" t="n">
        <f aca="false">J56/K56</f>
        <v>0.788888888888889</v>
      </c>
    </row>
    <row r="57" customFormat="false" ht="15" hidden="false" customHeight="false" outlineLevel="0" collapsed="false">
      <c r="A57" s="3" t="s">
        <v>86</v>
      </c>
      <c r="B57" s="3" t="n">
        <v>241730</v>
      </c>
      <c r="C57" s="3" t="s">
        <v>73</v>
      </c>
      <c r="D57" s="4" t="n">
        <v>45245</v>
      </c>
      <c r="E57" s="3" t="n">
        <v>60</v>
      </c>
      <c r="F57" s="3" t="n">
        <v>70.3</v>
      </c>
      <c r="G57" s="3" t="n">
        <v>4218</v>
      </c>
      <c r="H57" s="3" t="n">
        <v>0</v>
      </c>
      <c r="I57" s="3" t="n">
        <v>44400</v>
      </c>
      <c r="J57" s="5" t="n">
        <v>0.069</v>
      </c>
      <c r="K57" s="5" t="n">
        <v>0.095</v>
      </c>
      <c r="L57" s="5" t="n">
        <v>0.1</v>
      </c>
      <c r="M57" s="3" t="n">
        <v>0</v>
      </c>
      <c r="N57" s="3" t="n">
        <v>3063.6</v>
      </c>
      <c r="O57" s="6" t="n">
        <v>1154.4</v>
      </c>
      <c r="P57" s="6" t="n">
        <f aca="false">L57*N57</f>
        <v>306.36</v>
      </c>
      <c r="Q57" s="7" t="n">
        <f aca="false">N57-P57</f>
        <v>2757.24</v>
      </c>
      <c r="R57" s="8" t="n">
        <f aca="false">J57/K57</f>
        <v>0.726315789473684</v>
      </c>
    </row>
    <row r="58" customFormat="false" ht="15" hidden="false" customHeight="false" outlineLevel="0" collapsed="false">
      <c r="A58" s="3" t="s">
        <v>87</v>
      </c>
      <c r="B58" s="3" t="n">
        <v>241730</v>
      </c>
      <c r="C58" s="3" t="s">
        <v>73</v>
      </c>
      <c r="D58" s="4" t="n">
        <v>45245</v>
      </c>
      <c r="E58" s="3" t="n">
        <v>60</v>
      </c>
      <c r="F58" s="3" t="n">
        <v>38</v>
      </c>
      <c r="G58" s="3" t="n">
        <v>2280</v>
      </c>
      <c r="H58" s="3" t="n">
        <v>0</v>
      </c>
      <c r="I58" s="3" t="n">
        <v>24000</v>
      </c>
      <c r="J58" s="5" t="n">
        <v>0.069</v>
      </c>
      <c r="K58" s="5" t="n">
        <v>0.095</v>
      </c>
      <c r="L58" s="5" t="n">
        <v>0.1</v>
      </c>
      <c r="M58" s="3" t="n">
        <v>0</v>
      </c>
      <c r="N58" s="3" t="n">
        <v>1656</v>
      </c>
      <c r="O58" s="6" t="n">
        <v>624</v>
      </c>
      <c r="P58" s="6" t="n">
        <f aca="false">L58*N58</f>
        <v>165.6</v>
      </c>
      <c r="Q58" s="7" t="n">
        <f aca="false">N58-P58</f>
        <v>1490.4</v>
      </c>
      <c r="R58" s="8" t="n">
        <f aca="false">J58/K58</f>
        <v>0.726315789473684</v>
      </c>
    </row>
    <row r="59" customFormat="false" ht="15" hidden="false" customHeight="false" outlineLevel="0" collapsed="false">
      <c r="A59" s="3" t="s">
        <v>88</v>
      </c>
      <c r="B59" s="3" t="n">
        <v>241730</v>
      </c>
      <c r="C59" s="3" t="s">
        <v>73</v>
      </c>
      <c r="D59" s="4" t="n">
        <v>45231</v>
      </c>
      <c r="E59" s="3" t="n">
        <v>60</v>
      </c>
      <c r="F59" s="3" t="n">
        <v>36.1</v>
      </c>
      <c r="G59" s="3" t="n">
        <v>2166</v>
      </c>
      <c r="H59" s="3" t="n">
        <v>0</v>
      </c>
      <c r="I59" s="3" t="n">
        <v>22800</v>
      </c>
      <c r="J59" s="5" t="n">
        <v>0.069</v>
      </c>
      <c r="K59" s="5" t="n">
        <v>0.095</v>
      </c>
      <c r="L59" s="5" t="n">
        <v>0.1</v>
      </c>
      <c r="M59" s="3" t="n">
        <v>36.1</v>
      </c>
      <c r="N59" s="3" t="n">
        <v>1573.2</v>
      </c>
      <c r="O59" s="6" t="n">
        <v>592.8</v>
      </c>
      <c r="P59" s="6" t="n">
        <f aca="false">L59*N59</f>
        <v>157.32</v>
      </c>
      <c r="Q59" s="7" t="n">
        <f aca="false">N59-P59</f>
        <v>1415.88</v>
      </c>
      <c r="R59" s="8" t="n">
        <f aca="false">J59/K59</f>
        <v>0.726315789473684</v>
      </c>
    </row>
    <row r="60" customFormat="false" ht="15" hidden="false" customHeight="false" outlineLevel="0" collapsed="false">
      <c r="A60" s="3" t="s">
        <v>89</v>
      </c>
      <c r="B60" s="3" t="n">
        <v>241730</v>
      </c>
      <c r="C60" s="3" t="s">
        <v>73</v>
      </c>
      <c r="D60" s="4" t="n">
        <v>45245</v>
      </c>
      <c r="E60" s="3" t="n">
        <v>60</v>
      </c>
      <c r="F60" s="3" t="n">
        <v>27.08</v>
      </c>
      <c r="G60" s="3" t="n">
        <v>1624.5</v>
      </c>
      <c r="H60" s="3" t="n">
        <v>0</v>
      </c>
      <c r="I60" s="3" t="n">
        <v>17100</v>
      </c>
      <c r="J60" s="5" t="n">
        <v>0.069</v>
      </c>
      <c r="K60" s="5" t="n">
        <v>0.095</v>
      </c>
      <c r="L60" s="5" t="n">
        <v>0.1</v>
      </c>
      <c r="M60" s="3" t="n">
        <v>0</v>
      </c>
      <c r="N60" s="3" t="n">
        <v>1179.9</v>
      </c>
      <c r="O60" s="6" t="n">
        <v>444.6</v>
      </c>
      <c r="P60" s="6" t="n">
        <f aca="false">L60*N60</f>
        <v>117.99</v>
      </c>
      <c r="Q60" s="7" t="n">
        <f aca="false">N60-P60</f>
        <v>1061.91</v>
      </c>
      <c r="R60" s="8" t="n">
        <f aca="false">J60/K60</f>
        <v>0.726315789473684</v>
      </c>
    </row>
    <row r="61" customFormat="false" ht="15" hidden="false" customHeight="false" outlineLevel="0" collapsed="false">
      <c r="A61" s="3" t="s">
        <v>90</v>
      </c>
      <c r="B61" s="3" t="n">
        <v>241730</v>
      </c>
      <c r="C61" s="3" t="s">
        <v>73</v>
      </c>
      <c r="D61" s="4" t="n">
        <v>45245</v>
      </c>
      <c r="E61" s="3" t="n">
        <v>60</v>
      </c>
      <c r="F61" s="3" t="n">
        <v>144</v>
      </c>
      <c r="G61" s="3" t="n">
        <v>8640</v>
      </c>
      <c r="H61" s="3" t="n">
        <v>0</v>
      </c>
      <c r="I61" s="3" t="n">
        <v>96000</v>
      </c>
      <c r="J61" s="5" t="n">
        <v>0.071</v>
      </c>
      <c r="K61" s="5" t="n">
        <v>0.09</v>
      </c>
      <c r="L61" s="5" t="n">
        <v>0.1</v>
      </c>
      <c r="M61" s="3" t="n">
        <v>0</v>
      </c>
      <c r="N61" s="3" t="n">
        <v>6816</v>
      </c>
      <c r="O61" s="6" t="n">
        <v>1824</v>
      </c>
      <c r="P61" s="6" t="n">
        <f aca="false">L61*N61</f>
        <v>681.6</v>
      </c>
      <c r="Q61" s="7" t="n">
        <f aca="false">N61-P61</f>
        <v>6134.4</v>
      </c>
      <c r="R61" s="8" t="n">
        <f aca="false">J61/K61</f>
        <v>0.788888888888889</v>
      </c>
    </row>
    <row r="62" customFormat="false" ht="15" hidden="false" customHeight="false" outlineLevel="0" collapsed="false">
      <c r="A62" s="3" t="s">
        <v>91</v>
      </c>
      <c r="B62" s="3" t="n">
        <v>241730</v>
      </c>
      <c r="C62" s="3" t="s">
        <v>73</v>
      </c>
      <c r="D62" s="4" t="n">
        <v>45245</v>
      </c>
      <c r="E62" s="3" t="n">
        <v>60</v>
      </c>
      <c r="F62" s="3" t="n">
        <v>76</v>
      </c>
      <c r="G62" s="3" t="n">
        <v>4560</v>
      </c>
      <c r="H62" s="3" t="n">
        <v>0</v>
      </c>
      <c r="I62" s="3" t="n">
        <v>48000</v>
      </c>
      <c r="J62" s="5" t="n">
        <v>0.069</v>
      </c>
      <c r="K62" s="5" t="n">
        <v>0.095</v>
      </c>
      <c r="L62" s="5" t="n">
        <v>0.1</v>
      </c>
      <c r="M62" s="3" t="n">
        <v>0</v>
      </c>
      <c r="N62" s="3" t="n">
        <v>3312</v>
      </c>
      <c r="O62" s="6" t="n">
        <v>1248</v>
      </c>
      <c r="P62" s="6" t="n">
        <f aca="false">L62*N62</f>
        <v>331.2</v>
      </c>
      <c r="Q62" s="7" t="n">
        <f aca="false">N62-P62</f>
        <v>2980.8</v>
      </c>
      <c r="R62" s="8" t="n">
        <f aca="false">J62/K62</f>
        <v>0.726315789473684</v>
      </c>
    </row>
    <row r="63" customFormat="false" ht="15" hidden="false" customHeight="false" outlineLevel="0" collapsed="false">
      <c r="A63" s="3" t="s">
        <v>92</v>
      </c>
      <c r="B63" s="3" t="n">
        <v>204000</v>
      </c>
      <c r="C63" s="3" t="s">
        <v>93</v>
      </c>
      <c r="D63" s="4" t="n">
        <v>45200</v>
      </c>
      <c r="E63" s="3" t="n">
        <v>60</v>
      </c>
      <c r="F63" s="3" t="n">
        <v>25</v>
      </c>
      <c r="G63" s="3" t="n">
        <v>1499.78</v>
      </c>
      <c r="H63" s="3" t="n">
        <v>0</v>
      </c>
      <c r="I63" s="3" t="n">
        <v>15787.1578947368</v>
      </c>
      <c r="J63" s="5" t="n">
        <v>0.0715</v>
      </c>
      <c r="K63" s="5" t="n">
        <v>0.095</v>
      </c>
      <c r="L63" s="5" t="n">
        <v>0</v>
      </c>
      <c r="M63" s="3" t="n">
        <v>50</v>
      </c>
      <c r="N63" s="3" t="n">
        <v>1128.78</v>
      </c>
      <c r="O63" s="6" t="n">
        <v>370.997622377622</v>
      </c>
      <c r="P63" s="6" t="n">
        <f aca="false">L63*N63</f>
        <v>0</v>
      </c>
      <c r="Q63" s="7" t="n">
        <f aca="false">N63-P63</f>
        <v>1128.78</v>
      </c>
      <c r="R63" s="8" t="n">
        <f aca="false">J63/K63</f>
        <v>0.752631578947369</v>
      </c>
    </row>
    <row r="64" customFormat="false" ht="15" hidden="false" customHeight="false" outlineLevel="0" collapsed="false">
      <c r="A64" s="3" t="s">
        <v>94</v>
      </c>
      <c r="B64" s="3" t="n">
        <v>204000</v>
      </c>
      <c r="C64" s="3" t="s">
        <v>93</v>
      </c>
      <c r="D64" s="4" t="n">
        <v>45231</v>
      </c>
      <c r="E64" s="3" t="n">
        <v>60</v>
      </c>
      <c r="F64" s="3" t="n">
        <v>48.6</v>
      </c>
      <c r="G64" s="3" t="n">
        <v>2916</v>
      </c>
      <c r="H64" s="3" t="n">
        <v>0</v>
      </c>
      <c r="I64" s="3" t="n">
        <v>32400</v>
      </c>
      <c r="J64" s="5" t="n">
        <v>0.075</v>
      </c>
      <c r="K64" s="5" t="n">
        <v>0.09</v>
      </c>
      <c r="L64" s="5" t="n">
        <v>0</v>
      </c>
      <c r="M64" s="3" t="n">
        <v>0</v>
      </c>
      <c r="N64" s="3" t="n">
        <v>2430</v>
      </c>
      <c r="O64" s="6" t="n">
        <v>486</v>
      </c>
      <c r="P64" s="6" t="n">
        <f aca="false">L64*N64</f>
        <v>0</v>
      </c>
      <c r="Q64" s="7" t="n">
        <f aca="false">N64-P64</f>
        <v>2430</v>
      </c>
      <c r="R64" s="8" t="n">
        <f aca="false">J64/K64</f>
        <v>0.833333333333333</v>
      </c>
    </row>
    <row r="65" customFormat="false" ht="15" hidden="false" customHeight="false" outlineLevel="0" collapsed="false">
      <c r="A65" s="3" t="s">
        <v>95</v>
      </c>
      <c r="B65" s="3" t="n">
        <v>204000</v>
      </c>
      <c r="C65" s="3" t="s">
        <v>93</v>
      </c>
      <c r="D65" s="4" t="n">
        <v>45245</v>
      </c>
      <c r="E65" s="3" t="n">
        <v>60</v>
      </c>
      <c r="F65" s="3" t="n">
        <v>76</v>
      </c>
      <c r="G65" s="3" t="n">
        <v>4560</v>
      </c>
      <c r="H65" s="3" t="n">
        <v>0</v>
      </c>
      <c r="I65" s="3" t="n">
        <v>48000</v>
      </c>
      <c r="J65" s="5" t="n">
        <v>0.0715</v>
      </c>
      <c r="K65" s="5" t="n">
        <v>0.095</v>
      </c>
      <c r="L65" s="5" t="n">
        <v>0</v>
      </c>
      <c r="M65" s="3" t="n">
        <v>0</v>
      </c>
      <c r="N65" s="3" t="n">
        <v>3432</v>
      </c>
      <c r="O65" s="6" t="n">
        <v>1128</v>
      </c>
      <c r="P65" s="6" t="n">
        <f aca="false">L65*N65</f>
        <v>0</v>
      </c>
      <c r="Q65" s="7" t="n">
        <f aca="false">N65-P65</f>
        <v>3432</v>
      </c>
      <c r="R65" s="8" t="n">
        <f aca="false">J65/K65</f>
        <v>0.752631578947369</v>
      </c>
    </row>
    <row r="66" customFormat="false" ht="15" hidden="false" customHeight="false" outlineLevel="0" collapsed="false">
      <c r="A66" s="3" t="s">
        <v>96</v>
      </c>
      <c r="B66" s="3" t="n">
        <v>204000</v>
      </c>
      <c r="C66" s="3" t="s">
        <v>93</v>
      </c>
      <c r="D66" s="4" t="n">
        <v>45231</v>
      </c>
      <c r="E66" s="3" t="n">
        <v>60</v>
      </c>
      <c r="F66" s="3" t="n">
        <v>38</v>
      </c>
      <c r="G66" s="3" t="n">
        <v>2280</v>
      </c>
      <c r="H66" s="3" t="n">
        <v>0</v>
      </c>
      <c r="I66" s="3" t="n">
        <v>24000</v>
      </c>
      <c r="J66" s="5" t="n">
        <v>0.0715</v>
      </c>
      <c r="K66" s="5" t="n">
        <v>0.095</v>
      </c>
      <c r="L66" s="5" t="n">
        <v>0</v>
      </c>
      <c r="M66" s="3" t="n">
        <v>38</v>
      </c>
      <c r="N66" s="3" t="n">
        <v>1716</v>
      </c>
      <c r="O66" s="6" t="n">
        <v>564</v>
      </c>
      <c r="P66" s="6" t="n">
        <f aca="false">L66*N66</f>
        <v>0</v>
      </c>
      <c r="Q66" s="7" t="n">
        <f aca="false">N66-P66</f>
        <v>1716</v>
      </c>
      <c r="R66" s="8" t="n">
        <f aca="false">J66/K66</f>
        <v>0.752631578947369</v>
      </c>
    </row>
    <row r="67" customFormat="false" ht="15" hidden="false" customHeight="false" outlineLevel="0" collapsed="false">
      <c r="A67" s="3" t="s">
        <v>97</v>
      </c>
      <c r="B67" s="3" t="n">
        <v>204000</v>
      </c>
      <c r="C67" s="3" t="s">
        <v>93</v>
      </c>
      <c r="D67" s="4" t="n">
        <v>45231</v>
      </c>
      <c r="E67" s="3" t="n">
        <v>60</v>
      </c>
      <c r="F67" s="3" t="n">
        <v>38</v>
      </c>
      <c r="G67" s="3" t="n">
        <v>2280</v>
      </c>
      <c r="H67" s="3" t="n">
        <v>0</v>
      </c>
      <c r="I67" s="3" t="n">
        <v>24000</v>
      </c>
      <c r="J67" s="5" t="n">
        <v>0.0715</v>
      </c>
      <c r="K67" s="5" t="n">
        <v>0.095</v>
      </c>
      <c r="L67" s="5" t="n">
        <v>0</v>
      </c>
      <c r="M67" s="3" t="n">
        <v>38</v>
      </c>
      <c r="N67" s="3" t="n">
        <v>1716</v>
      </c>
      <c r="O67" s="6" t="n">
        <v>564</v>
      </c>
      <c r="P67" s="6" t="n">
        <f aca="false">L67*N67</f>
        <v>0</v>
      </c>
      <c r="Q67" s="7" t="n">
        <f aca="false">N67-P67</f>
        <v>1716</v>
      </c>
      <c r="R67" s="8" t="n">
        <f aca="false">J67/K67</f>
        <v>0.752631578947369</v>
      </c>
    </row>
    <row r="68" customFormat="false" ht="15" hidden="false" customHeight="false" outlineLevel="0" collapsed="false">
      <c r="A68" s="3" t="s">
        <v>98</v>
      </c>
      <c r="B68" s="3" t="n">
        <v>204000</v>
      </c>
      <c r="C68" s="3" t="s">
        <v>93</v>
      </c>
      <c r="D68" s="4" t="n">
        <v>45231</v>
      </c>
      <c r="E68" s="3" t="n">
        <v>60</v>
      </c>
      <c r="F68" s="3" t="n">
        <v>161.5</v>
      </c>
      <c r="G68" s="3" t="n">
        <v>9690</v>
      </c>
      <c r="H68" s="3" t="n">
        <v>0</v>
      </c>
      <c r="I68" s="3" t="n">
        <v>102000</v>
      </c>
      <c r="J68" s="5" t="n">
        <v>0.0715</v>
      </c>
      <c r="K68" s="5" t="n">
        <v>0.095</v>
      </c>
      <c r="L68" s="5" t="n">
        <v>0</v>
      </c>
      <c r="M68" s="3" t="n">
        <v>0</v>
      </c>
      <c r="N68" s="3" t="n">
        <v>7293</v>
      </c>
      <c r="O68" s="6" t="n">
        <v>2397</v>
      </c>
      <c r="P68" s="6" t="n">
        <f aca="false">L68*N68</f>
        <v>0</v>
      </c>
      <c r="Q68" s="7" t="n">
        <f aca="false">N68-P68</f>
        <v>7293</v>
      </c>
      <c r="R68" s="8" t="n">
        <f aca="false">J68/K68</f>
        <v>0.752631578947369</v>
      </c>
    </row>
    <row r="69" customFormat="false" ht="15" hidden="false" customHeight="false" outlineLevel="0" collapsed="false">
      <c r="A69" s="3" t="s">
        <v>99</v>
      </c>
      <c r="B69" s="3" t="n">
        <v>204000</v>
      </c>
      <c r="C69" s="3" t="s">
        <v>93</v>
      </c>
      <c r="D69" s="4" t="n">
        <v>45231</v>
      </c>
      <c r="E69" s="3" t="n">
        <v>60</v>
      </c>
      <c r="F69" s="3" t="n">
        <v>36</v>
      </c>
      <c r="G69" s="3" t="n">
        <v>2160</v>
      </c>
      <c r="H69" s="3" t="n">
        <v>0</v>
      </c>
      <c r="I69" s="3" t="n">
        <v>24000</v>
      </c>
      <c r="J69" s="5" t="n">
        <v>0.075</v>
      </c>
      <c r="K69" s="5" t="n">
        <v>0.09</v>
      </c>
      <c r="L69" s="5" t="n">
        <v>0</v>
      </c>
      <c r="M69" s="3" t="n">
        <v>36</v>
      </c>
      <c r="N69" s="3" t="n">
        <v>1800</v>
      </c>
      <c r="O69" s="6" t="n">
        <v>360</v>
      </c>
      <c r="P69" s="6" t="n">
        <f aca="false">L69*N69</f>
        <v>0</v>
      </c>
      <c r="Q69" s="7" t="n">
        <f aca="false">N69-P69</f>
        <v>1800</v>
      </c>
      <c r="R69" s="8" t="n">
        <f aca="false">J69/K69</f>
        <v>0.833333333333333</v>
      </c>
    </row>
    <row r="70" customFormat="false" ht="15" hidden="false" customHeight="false" outlineLevel="0" collapsed="false">
      <c r="G70" s="11"/>
      <c r="O70" s="11"/>
      <c r="Q7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  <Company>Rakuten Europe Bank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2024-06-11T12:24:35Z</dcterms:created>
  <dc:creator>Georgios Kyrkos</dc:creator>
  <dc:description/>
  <dc:language>en-US</dc:language>
  <cp:lastModifiedBy/>
  <dcterms:modified xsi:type="dcterms:W3CDTF">2026-02-09T11:32:37Z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