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ios.kyrkos\Documents\Pytho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Sheet1!$A$1:$R$70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R69" i="1" l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P69" i="1" l="1"/>
  <c r="Q69" i="1" s="1"/>
  <c r="P68" i="1"/>
  <c r="Q68" i="1" s="1"/>
  <c r="P67" i="1"/>
  <c r="Q67" i="1" s="1"/>
  <c r="P66" i="1"/>
  <c r="Q66" i="1" s="1"/>
  <c r="P65" i="1"/>
  <c r="Q65" i="1" s="1"/>
  <c r="P64" i="1"/>
  <c r="Q64" i="1" s="1"/>
  <c r="P63" i="1"/>
  <c r="Q63" i="1" s="1"/>
  <c r="P62" i="1"/>
  <c r="Q62" i="1" s="1"/>
  <c r="P61" i="1"/>
  <c r="Q61" i="1" s="1"/>
  <c r="P60" i="1"/>
  <c r="Q60" i="1" s="1"/>
  <c r="P59" i="1"/>
  <c r="Q59" i="1" s="1"/>
  <c r="P58" i="1"/>
  <c r="Q58" i="1" s="1"/>
  <c r="P57" i="1"/>
  <c r="Q57" i="1" s="1"/>
  <c r="P56" i="1"/>
  <c r="Q56" i="1" s="1"/>
  <c r="P55" i="1"/>
  <c r="Q55" i="1" s="1"/>
  <c r="P54" i="1"/>
  <c r="Q54" i="1" s="1"/>
  <c r="P53" i="1"/>
  <c r="Q53" i="1" s="1"/>
  <c r="P52" i="1"/>
  <c r="Q52" i="1" s="1"/>
  <c r="P51" i="1"/>
  <c r="Q51" i="1" s="1"/>
  <c r="P50" i="1"/>
  <c r="Q50" i="1" s="1"/>
  <c r="P49" i="1"/>
  <c r="Q49" i="1" s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P40" i="1"/>
  <c r="Q40" i="1" s="1"/>
  <c r="P39" i="1"/>
  <c r="Q39" i="1" s="1"/>
  <c r="P38" i="1"/>
  <c r="Q38" i="1" s="1"/>
  <c r="P37" i="1"/>
  <c r="Q37" i="1" s="1"/>
  <c r="P36" i="1"/>
  <c r="Q36" i="1" s="1"/>
  <c r="P35" i="1"/>
  <c r="Q35" i="1" s="1"/>
  <c r="P34" i="1"/>
  <c r="Q34" i="1" s="1"/>
  <c r="P33" i="1"/>
  <c r="Q33" i="1" s="1"/>
  <c r="P32" i="1"/>
  <c r="Q32" i="1" s="1"/>
  <c r="P31" i="1"/>
  <c r="Q31" i="1" s="1"/>
  <c r="P30" i="1"/>
  <c r="Q30" i="1" s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P5" i="1"/>
  <c r="Q5" i="1" s="1"/>
  <c r="P4" i="1"/>
  <c r="Q4" i="1" s="1"/>
  <c r="P3" i="1"/>
  <c r="Q3" i="1" s="1"/>
  <c r="P2" i="1"/>
</calcChain>
</file>

<file path=xl/sharedStrings.xml><?xml version="1.0" encoding="utf-8"?>
<sst xmlns="http://schemas.openxmlformats.org/spreadsheetml/2006/main" count="153" uniqueCount="100">
  <si>
    <t>Vertragsnummer</t>
  </si>
  <si>
    <t>Beginn</t>
  </si>
  <si>
    <t>Tilgdauer</t>
  </si>
  <si>
    <t>Prämie</t>
  </si>
  <si>
    <t>Barzahlungspreis</t>
  </si>
  <si>
    <t>BWS</t>
  </si>
  <si>
    <t>Kaufpreissatz</t>
  </si>
  <si>
    <t>Sicherheitensatz</t>
  </si>
  <si>
    <t>Kaufpreis</t>
  </si>
  <si>
    <t>Sicherheitseinbehalt</t>
  </si>
  <si>
    <t>VV-7896780</t>
  </si>
  <si>
    <t>VV-7898714</t>
  </si>
  <si>
    <t>VV-7896756</t>
  </si>
  <si>
    <t>VV-7915138</t>
  </si>
  <si>
    <t>VV-7917107</t>
  </si>
  <si>
    <t>VV-7890197</t>
  </si>
  <si>
    <t>VV-7890017</t>
  </si>
  <si>
    <t>VV-7890096</t>
  </si>
  <si>
    <t>VV-7924140</t>
  </si>
  <si>
    <t>VV-7914925</t>
  </si>
  <si>
    <t>VV-7919313</t>
  </si>
  <si>
    <t>VV-7920652</t>
  </si>
  <si>
    <t>VV-7904035</t>
  </si>
  <si>
    <t>VV-7916005</t>
  </si>
  <si>
    <t>VV-7914082</t>
  </si>
  <si>
    <t>VV-7893213</t>
  </si>
  <si>
    <t>VV-7908153</t>
  </si>
  <si>
    <t>VV-7923374</t>
  </si>
  <si>
    <t>VV-7827377</t>
  </si>
  <si>
    <t>VV-2300359</t>
  </si>
  <si>
    <t>VV-7912440</t>
  </si>
  <si>
    <t>VV-7916185</t>
  </si>
  <si>
    <t>VV-7916218</t>
  </si>
  <si>
    <t>VV-7912337</t>
  </si>
  <si>
    <t>VV-7907850</t>
  </si>
  <si>
    <t>VV-7867271</t>
  </si>
  <si>
    <t>VV-7907488</t>
  </si>
  <si>
    <t>VV-7900288</t>
  </si>
  <si>
    <t>VV-7900367</t>
  </si>
  <si>
    <t>VV-7909211</t>
  </si>
  <si>
    <t>VV-7895733</t>
  </si>
  <si>
    <t>VV-7890063</t>
  </si>
  <si>
    <t>VV-7868981</t>
  </si>
  <si>
    <t>VV-7869058</t>
  </si>
  <si>
    <t>VV-7892831</t>
  </si>
  <si>
    <t>VV-7892976</t>
  </si>
  <si>
    <t>VV-7906285</t>
  </si>
  <si>
    <t>VV-7921214</t>
  </si>
  <si>
    <t>VV-7862894</t>
  </si>
  <si>
    <t>VV-7878611</t>
  </si>
  <si>
    <t>VV-7821426</t>
  </si>
  <si>
    <t>VV-7917761</t>
  </si>
  <si>
    <t>VV-7908952</t>
  </si>
  <si>
    <t>VV-7920977</t>
  </si>
  <si>
    <t>VV-7829122</t>
  </si>
  <si>
    <t>VV-7909694</t>
  </si>
  <si>
    <t>VV-7909424</t>
  </si>
  <si>
    <t>VV-7923510</t>
  </si>
  <si>
    <t>VV-7888678</t>
  </si>
  <si>
    <t>VV-7901008</t>
  </si>
  <si>
    <t>VV-7901054</t>
  </si>
  <si>
    <t>VV-7867776</t>
  </si>
  <si>
    <t>VV-7928583</t>
  </si>
  <si>
    <t>VV-7915915</t>
  </si>
  <si>
    <t>VV-7835501</t>
  </si>
  <si>
    <t>VV-7893898</t>
  </si>
  <si>
    <t>VV-7918121</t>
  </si>
  <si>
    <t>VV-7918143</t>
  </si>
  <si>
    <t>VV-7931744</t>
  </si>
  <si>
    <t>VV-7874133</t>
  </si>
  <si>
    <t>VV-7933004</t>
  </si>
  <si>
    <t>VV-7896554</t>
  </si>
  <si>
    <t>VV-7862668</t>
  </si>
  <si>
    <t>VV-7910605</t>
  </si>
  <si>
    <t>VV-7912427</t>
  </si>
  <si>
    <t>VV-7915217</t>
  </si>
  <si>
    <t>VV-7930574</t>
  </si>
  <si>
    <t>VV-7872748</t>
  </si>
  <si>
    <t>Vertrieb_ID</t>
  </si>
  <si>
    <t>Vertrieb_Name</t>
  </si>
  <si>
    <t>Check_BWS</t>
  </si>
  <si>
    <t>max_Kaufpreissatz</t>
  </si>
  <si>
    <t>Kundenzahlung_Brutto</t>
  </si>
  <si>
    <t>Marge_CY</t>
  </si>
  <si>
    <t>Broker_Payout</t>
  </si>
  <si>
    <t>ABC</t>
  </si>
  <si>
    <t>DEF</t>
  </si>
  <si>
    <t>GHI</t>
  </si>
  <si>
    <t>JKL</t>
  </si>
  <si>
    <t>MNO</t>
  </si>
  <si>
    <t>PQR</t>
  </si>
  <si>
    <t>STU</t>
  </si>
  <si>
    <t>VWX</t>
  </si>
  <si>
    <t>YZA</t>
  </si>
  <si>
    <t>BCD</t>
  </si>
  <si>
    <t>EFG</t>
  </si>
  <si>
    <t>HIJ</t>
  </si>
  <si>
    <t>KLM</t>
  </si>
  <si>
    <t>NOP</t>
  </si>
  <si>
    <t>YVW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</si>
</sst>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"/>
    <numFmt numFmtId="166" formatCode="_-[$€-2]\ * #,##0.00_-;\-[$€-2]\ * #,##0.00_-;_-[$€-2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/>
    <xf numFmtId="166" fontId="0" fillId="0" borderId="0" xfId="0" applyNumberForma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abSelected="1" workbookViewId="0">
      <selection activeCell="D20" sqref="D20"/>
    </sheetView>
  </sheetViews>
  <sheetFormatPr defaultRowHeight="15" x14ac:dyDescent="0.25"/>
  <cols>
    <col min="1" max="1" width="16.7109375" bestFit="1" customWidth="1"/>
    <col min="2" max="2" width="32.28515625" customWidth="1"/>
    <col min="3" max="3" width="35.5703125" customWidth="1"/>
    <col min="4" max="4" width="20.42578125" customWidth="1"/>
    <col min="5" max="5" width="9.7109375" bestFit="1" customWidth="1"/>
    <col min="6" max="6" width="7.5703125" bestFit="1" customWidth="1"/>
    <col min="7" max="7" width="16.85546875" bestFit="1" customWidth="1"/>
    <col min="8" max="8" width="17.28515625" customWidth="1"/>
    <col min="9" max="9" width="12" bestFit="1" customWidth="1"/>
    <col min="10" max="10" width="13.5703125" bestFit="1" customWidth="1"/>
    <col min="11" max="11" width="18.7109375" bestFit="1" customWidth="1"/>
    <col min="12" max="12" width="16.28515625" bestFit="1" customWidth="1"/>
    <col min="13" max="13" width="24.140625" bestFit="1" customWidth="1"/>
    <col min="14" max="14" width="9.7109375" bestFit="1" customWidth="1"/>
    <col min="15" max="15" width="28.7109375" bestFit="1" customWidth="1"/>
    <col min="16" max="16" width="20.28515625" bestFit="1" customWidth="1"/>
    <col min="17" max="17" width="20.42578125" customWidth="1"/>
    <col min="18" max="18" width="20.42578125" bestFit="1" customWidth="1"/>
  </cols>
  <sheetData>
    <row r="1" spans="1:18" ht="15.75" x14ac:dyDescent="0.25">
      <c r="A1" s="1" t="s">
        <v>0</v>
      </c>
      <c r="B1" s="1" t="s">
        <v>78</v>
      </c>
      <c r="C1" s="1" t="s">
        <v>79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80</v>
      </c>
      <c r="I1" s="1" t="s">
        <v>5</v>
      </c>
      <c r="J1" s="1" t="s">
        <v>6</v>
      </c>
      <c r="K1" s="1" t="s">
        <v>81</v>
      </c>
      <c r="L1" s="1" t="s">
        <v>7</v>
      </c>
      <c r="M1" s="1" t="s">
        <v>82</v>
      </c>
      <c r="N1" s="1" t="s">
        <v>8</v>
      </c>
      <c r="O1" s="8" t="s">
        <v>83</v>
      </c>
      <c r="P1" s="1" t="s">
        <v>9</v>
      </c>
      <c r="Q1" s="1" t="s">
        <v>84</v>
      </c>
    </row>
    <row r="2" spans="1:18" x14ac:dyDescent="0.25">
      <c r="A2" s="2" t="s">
        <v>10</v>
      </c>
      <c r="B2" s="2">
        <v>310100</v>
      </c>
      <c r="C2" s="2" t="s">
        <v>85</v>
      </c>
      <c r="D2" s="3">
        <v>45245</v>
      </c>
      <c r="E2" s="2">
        <v>60</v>
      </c>
      <c r="F2" s="2">
        <v>56</v>
      </c>
      <c r="G2" s="2">
        <v>3360</v>
      </c>
      <c r="H2" s="2">
        <v>0</v>
      </c>
      <c r="I2" s="2">
        <v>44800</v>
      </c>
      <c r="J2" s="4">
        <v>5.2999999999999999E-2</v>
      </c>
      <c r="K2" s="4">
        <v>7.4999999999999997E-2</v>
      </c>
      <c r="L2" s="4">
        <v>0.1</v>
      </c>
      <c r="M2" s="2">
        <v>0</v>
      </c>
      <c r="N2" s="2">
        <v>2374.4</v>
      </c>
      <c r="O2" s="5">
        <v>985.59999999999991</v>
      </c>
      <c r="P2" s="5">
        <f>L2*N2</f>
        <v>237.44000000000003</v>
      </c>
      <c r="Q2" s="6">
        <f>N2-P2</f>
        <v>2136.96</v>
      </c>
      <c r="R2" s="9">
        <f>J2/K2</f>
        <v>0.70666666666666667</v>
      </c>
    </row>
    <row r="3" spans="1:18" x14ac:dyDescent="0.25">
      <c r="A3" s="2" t="s">
        <v>11</v>
      </c>
      <c r="B3" s="2">
        <v>310100</v>
      </c>
      <c r="C3" s="2" t="s">
        <v>85</v>
      </c>
      <c r="D3" s="3">
        <v>45245</v>
      </c>
      <c r="E3" s="2">
        <v>60</v>
      </c>
      <c r="F3" s="2">
        <v>112</v>
      </c>
      <c r="G3" s="2">
        <v>6720</v>
      </c>
      <c r="H3" s="2">
        <v>0</v>
      </c>
      <c r="I3" s="2">
        <v>89600</v>
      </c>
      <c r="J3" s="4">
        <v>5.2999999999999999E-2</v>
      </c>
      <c r="K3" s="4">
        <v>7.4999999999999997E-2</v>
      </c>
      <c r="L3" s="4">
        <v>0.1</v>
      </c>
      <c r="M3" s="2">
        <v>0</v>
      </c>
      <c r="N3" s="2">
        <v>4748.8</v>
      </c>
      <c r="O3" s="5">
        <v>1971.1999999999998</v>
      </c>
      <c r="P3" s="5">
        <f t="shared" ref="P3:P66" si="0">L3*N3</f>
        <v>474.88000000000005</v>
      </c>
      <c r="Q3" s="6">
        <f t="shared" ref="Q3:Q66" si="1">N3-P3</f>
        <v>4273.92</v>
      </c>
      <c r="R3" s="9">
        <f>J3/K3</f>
        <v>0.70666666666666667</v>
      </c>
    </row>
    <row r="4" spans="1:18" x14ac:dyDescent="0.25">
      <c r="A4" s="2" t="s">
        <v>12</v>
      </c>
      <c r="B4" s="2">
        <v>310100</v>
      </c>
      <c r="C4" s="2" t="s">
        <v>85</v>
      </c>
      <c r="D4" s="3">
        <v>45245</v>
      </c>
      <c r="E4" s="2">
        <v>60</v>
      </c>
      <c r="F4" s="2">
        <v>161</v>
      </c>
      <c r="G4" s="2">
        <v>9660</v>
      </c>
      <c r="H4" s="2">
        <v>0</v>
      </c>
      <c r="I4" s="2">
        <v>128800</v>
      </c>
      <c r="J4" s="4">
        <v>5.2999999999999999E-2</v>
      </c>
      <c r="K4" s="4">
        <v>7.4999999999999997E-2</v>
      </c>
      <c r="L4" s="4">
        <v>0.1</v>
      </c>
      <c r="M4" s="2">
        <v>0</v>
      </c>
      <c r="N4" s="2">
        <v>6826.4</v>
      </c>
      <c r="O4" s="5">
        <v>2833.6000000000004</v>
      </c>
      <c r="P4" s="5">
        <f t="shared" si="0"/>
        <v>682.64</v>
      </c>
      <c r="Q4" s="6">
        <f t="shared" si="1"/>
        <v>6143.7599999999993</v>
      </c>
      <c r="R4" s="9">
        <f t="shared" ref="R4:R67" si="2">J4/K4</f>
        <v>0.70666666666666667</v>
      </c>
    </row>
    <row r="5" spans="1:18" x14ac:dyDescent="0.25">
      <c r="A5" s="2" t="s">
        <v>13</v>
      </c>
      <c r="B5" s="2">
        <v>250460</v>
      </c>
      <c r="C5" s="2" t="s">
        <v>86</v>
      </c>
      <c r="D5" s="3">
        <v>45231</v>
      </c>
      <c r="E5" s="2">
        <v>60</v>
      </c>
      <c r="F5" s="2">
        <v>192</v>
      </c>
      <c r="G5" s="2">
        <v>11520</v>
      </c>
      <c r="H5" s="2">
        <v>0</v>
      </c>
      <c r="I5" s="2">
        <v>153600</v>
      </c>
      <c r="J5" s="4">
        <v>5.0500000000000003E-2</v>
      </c>
      <c r="K5" s="4">
        <v>7.4999999999999997E-2</v>
      </c>
      <c r="L5" s="4">
        <v>0.1</v>
      </c>
      <c r="M5" s="2">
        <v>192</v>
      </c>
      <c r="N5" s="2">
        <v>7756.8</v>
      </c>
      <c r="O5" s="5">
        <v>3763.2</v>
      </c>
      <c r="P5" s="5">
        <f t="shared" si="0"/>
        <v>775.68000000000006</v>
      </c>
      <c r="Q5" s="6">
        <f t="shared" si="1"/>
        <v>6981.12</v>
      </c>
      <c r="R5" s="9">
        <f t="shared" si="2"/>
        <v>0.67333333333333345</v>
      </c>
    </row>
    <row r="6" spans="1:18" x14ac:dyDescent="0.25">
      <c r="A6" s="2" t="s">
        <v>14</v>
      </c>
      <c r="B6" s="2">
        <v>250460</v>
      </c>
      <c r="C6" s="2" t="s">
        <v>86</v>
      </c>
      <c r="D6" s="3">
        <v>45231</v>
      </c>
      <c r="E6" s="2">
        <v>60</v>
      </c>
      <c r="F6" s="2">
        <v>600</v>
      </c>
      <c r="G6" s="2">
        <v>36000</v>
      </c>
      <c r="H6" s="2">
        <v>0</v>
      </c>
      <c r="I6" s="2">
        <v>480000</v>
      </c>
      <c r="J6" s="4">
        <v>5.0500000000000003E-2</v>
      </c>
      <c r="K6" s="4">
        <v>7.4999999999999997E-2</v>
      </c>
      <c r="L6" s="4">
        <v>0.1</v>
      </c>
      <c r="M6" s="2">
        <v>600</v>
      </c>
      <c r="N6" s="2">
        <v>24240</v>
      </c>
      <c r="O6" s="5">
        <v>11759.999999999993</v>
      </c>
      <c r="P6" s="5">
        <f t="shared" si="0"/>
        <v>2424</v>
      </c>
      <c r="Q6" s="6">
        <f t="shared" si="1"/>
        <v>21816</v>
      </c>
      <c r="R6" s="9">
        <f t="shared" si="2"/>
        <v>0.67333333333333345</v>
      </c>
    </row>
    <row r="7" spans="1:18" x14ac:dyDescent="0.25">
      <c r="A7" s="2" t="s">
        <v>15</v>
      </c>
      <c r="B7" s="2">
        <v>271050</v>
      </c>
      <c r="C7" s="2" t="s">
        <v>87</v>
      </c>
      <c r="D7" s="3">
        <v>45231</v>
      </c>
      <c r="E7" s="2">
        <v>60</v>
      </c>
      <c r="F7" s="2">
        <v>51</v>
      </c>
      <c r="G7" s="2">
        <v>3060</v>
      </c>
      <c r="H7" s="2">
        <v>0</v>
      </c>
      <c r="I7" s="2">
        <v>40800</v>
      </c>
      <c r="J7" s="4">
        <v>4.8000000000000001E-2</v>
      </c>
      <c r="K7" s="4">
        <v>7.4999999999999997E-2</v>
      </c>
      <c r="L7" s="4">
        <v>0.1</v>
      </c>
      <c r="M7" s="2">
        <v>51</v>
      </c>
      <c r="N7" s="2">
        <v>1958.4</v>
      </c>
      <c r="O7" s="5">
        <v>1101.5999999999999</v>
      </c>
      <c r="P7" s="5">
        <f t="shared" si="0"/>
        <v>195.84000000000003</v>
      </c>
      <c r="Q7" s="6">
        <f t="shared" si="1"/>
        <v>1762.56</v>
      </c>
      <c r="R7" s="9">
        <f t="shared" si="2"/>
        <v>0.64</v>
      </c>
    </row>
    <row r="8" spans="1:18" x14ac:dyDescent="0.25">
      <c r="A8" s="2" t="s">
        <v>16</v>
      </c>
      <c r="B8" s="2">
        <v>271050</v>
      </c>
      <c r="C8" s="2" t="s">
        <v>87</v>
      </c>
      <c r="D8" s="3">
        <v>45231</v>
      </c>
      <c r="E8" s="2">
        <v>60</v>
      </c>
      <c r="F8" s="2">
        <v>72</v>
      </c>
      <c r="G8" s="2">
        <v>4320</v>
      </c>
      <c r="H8" s="2">
        <v>0</v>
      </c>
      <c r="I8" s="2">
        <v>57600</v>
      </c>
      <c r="J8" s="4">
        <v>4.8000000000000001E-2</v>
      </c>
      <c r="K8" s="4">
        <v>7.4999999999999997E-2</v>
      </c>
      <c r="L8" s="4">
        <v>0.1</v>
      </c>
      <c r="M8" s="2">
        <v>72</v>
      </c>
      <c r="N8" s="2">
        <v>2764.8</v>
      </c>
      <c r="O8" s="5">
        <v>1555.1999999999998</v>
      </c>
      <c r="P8" s="5">
        <f t="shared" si="0"/>
        <v>276.48</v>
      </c>
      <c r="Q8" s="6">
        <f t="shared" si="1"/>
        <v>2488.3200000000002</v>
      </c>
      <c r="R8" s="9">
        <f t="shared" si="2"/>
        <v>0.64</v>
      </c>
    </row>
    <row r="9" spans="1:18" x14ac:dyDescent="0.25">
      <c r="A9" s="2" t="s">
        <v>17</v>
      </c>
      <c r="B9" s="2">
        <v>271050</v>
      </c>
      <c r="C9" s="2" t="s">
        <v>87</v>
      </c>
      <c r="D9" s="3">
        <v>45231</v>
      </c>
      <c r="E9" s="2">
        <v>60</v>
      </c>
      <c r="F9" s="2">
        <v>51</v>
      </c>
      <c r="G9" s="2">
        <v>3060</v>
      </c>
      <c r="H9" s="2">
        <v>0</v>
      </c>
      <c r="I9" s="2">
        <v>40800</v>
      </c>
      <c r="J9" s="4">
        <v>4.8000000000000001E-2</v>
      </c>
      <c r="K9" s="4">
        <v>7.4999999999999997E-2</v>
      </c>
      <c r="L9" s="4">
        <v>0.1</v>
      </c>
      <c r="M9" s="2">
        <v>51</v>
      </c>
      <c r="N9" s="2">
        <v>1958.4</v>
      </c>
      <c r="O9" s="5">
        <v>1101.5999999999999</v>
      </c>
      <c r="P9" s="5">
        <f t="shared" si="0"/>
        <v>195.84000000000003</v>
      </c>
      <c r="Q9" s="6">
        <f t="shared" si="1"/>
        <v>1762.56</v>
      </c>
      <c r="R9" s="9">
        <f t="shared" si="2"/>
        <v>0.64</v>
      </c>
    </row>
    <row r="10" spans="1:18" x14ac:dyDescent="0.25">
      <c r="A10" s="2" t="s">
        <v>18</v>
      </c>
      <c r="B10" s="2">
        <v>271496</v>
      </c>
      <c r="C10" s="2" t="s">
        <v>88</v>
      </c>
      <c r="D10" s="3">
        <v>45245</v>
      </c>
      <c r="E10" s="2">
        <v>60</v>
      </c>
      <c r="F10" s="2">
        <v>48</v>
      </c>
      <c r="G10" s="2">
        <v>2880</v>
      </c>
      <c r="H10" s="2">
        <v>0</v>
      </c>
      <c r="I10" s="2">
        <v>38400</v>
      </c>
      <c r="J10" s="4">
        <v>5.1999999999999998E-2</v>
      </c>
      <c r="K10" s="4">
        <v>7.4999999999999997E-2</v>
      </c>
      <c r="L10" s="4">
        <v>0.1</v>
      </c>
      <c r="M10" s="2">
        <v>0</v>
      </c>
      <c r="N10" s="2">
        <v>1996.8</v>
      </c>
      <c r="O10" s="5">
        <v>883.2</v>
      </c>
      <c r="P10" s="5">
        <f t="shared" si="0"/>
        <v>199.68</v>
      </c>
      <c r="Q10" s="6">
        <f t="shared" si="1"/>
        <v>1797.12</v>
      </c>
      <c r="R10" s="9">
        <f t="shared" si="2"/>
        <v>0.69333333333333336</v>
      </c>
    </row>
    <row r="11" spans="1:18" x14ac:dyDescent="0.25">
      <c r="A11" s="2" t="s">
        <v>19</v>
      </c>
      <c r="B11" s="2">
        <v>271496</v>
      </c>
      <c r="C11" s="2" t="s">
        <v>88</v>
      </c>
      <c r="D11" s="3">
        <v>45245</v>
      </c>
      <c r="E11" s="2">
        <v>60</v>
      </c>
      <c r="F11" s="2">
        <v>84</v>
      </c>
      <c r="G11" s="2">
        <v>5040</v>
      </c>
      <c r="H11" s="2">
        <v>0</v>
      </c>
      <c r="I11" s="2">
        <v>67200</v>
      </c>
      <c r="J11" s="4">
        <v>5.1999999999999998E-2</v>
      </c>
      <c r="K11" s="4">
        <v>7.4999999999999997E-2</v>
      </c>
      <c r="L11" s="4">
        <v>0.1</v>
      </c>
      <c r="M11" s="2">
        <v>0</v>
      </c>
      <c r="N11" s="2">
        <v>3494.4</v>
      </c>
      <c r="O11" s="5">
        <v>1545.6</v>
      </c>
      <c r="P11" s="5">
        <f t="shared" si="0"/>
        <v>349.44000000000005</v>
      </c>
      <c r="Q11" s="6">
        <f t="shared" si="1"/>
        <v>3144.96</v>
      </c>
      <c r="R11" s="9">
        <f t="shared" si="2"/>
        <v>0.69333333333333336</v>
      </c>
    </row>
    <row r="12" spans="1:18" x14ac:dyDescent="0.25">
      <c r="A12" s="2" t="s">
        <v>20</v>
      </c>
      <c r="B12" s="2">
        <v>271496</v>
      </c>
      <c r="C12" s="2" t="s">
        <v>88</v>
      </c>
      <c r="D12" s="3">
        <v>45214</v>
      </c>
      <c r="E12" s="2">
        <v>60</v>
      </c>
      <c r="F12" s="2">
        <v>56</v>
      </c>
      <c r="G12" s="2">
        <v>3360</v>
      </c>
      <c r="H12" s="2">
        <v>0</v>
      </c>
      <c r="I12" s="2">
        <v>44800</v>
      </c>
      <c r="J12" s="4">
        <v>5.1999999999999998E-2</v>
      </c>
      <c r="K12" s="4">
        <v>7.4999999999999997E-2</v>
      </c>
      <c r="L12" s="4">
        <v>0.1</v>
      </c>
      <c r="M12" s="2">
        <v>56</v>
      </c>
      <c r="N12" s="2">
        <v>2329.6</v>
      </c>
      <c r="O12" s="5">
        <v>1030.4000000000001</v>
      </c>
      <c r="P12" s="5">
        <f t="shared" si="0"/>
        <v>232.96</v>
      </c>
      <c r="Q12" s="6">
        <f t="shared" si="1"/>
        <v>2096.64</v>
      </c>
      <c r="R12" s="9">
        <f t="shared" si="2"/>
        <v>0.69333333333333336</v>
      </c>
    </row>
    <row r="13" spans="1:18" x14ac:dyDescent="0.25">
      <c r="A13" s="2" t="s">
        <v>21</v>
      </c>
      <c r="B13" s="2">
        <v>271496</v>
      </c>
      <c r="C13" s="2" t="s">
        <v>88</v>
      </c>
      <c r="D13" s="3">
        <v>45245</v>
      </c>
      <c r="E13" s="2">
        <v>60</v>
      </c>
      <c r="F13" s="2">
        <v>30</v>
      </c>
      <c r="G13" s="2">
        <v>1800</v>
      </c>
      <c r="H13" s="2">
        <v>0</v>
      </c>
      <c r="I13" s="2">
        <v>24000</v>
      </c>
      <c r="J13" s="4">
        <v>5.1999999999999998E-2</v>
      </c>
      <c r="K13" s="4">
        <v>7.4999999999999997E-2</v>
      </c>
      <c r="L13" s="4">
        <v>0.1</v>
      </c>
      <c r="M13" s="2">
        <v>0</v>
      </c>
      <c r="N13" s="2">
        <v>1248</v>
      </c>
      <c r="O13" s="5">
        <v>552</v>
      </c>
      <c r="P13" s="5">
        <f t="shared" si="0"/>
        <v>124.80000000000001</v>
      </c>
      <c r="Q13" s="6">
        <f t="shared" si="1"/>
        <v>1123.2</v>
      </c>
      <c r="R13" s="9">
        <f t="shared" si="2"/>
        <v>0.69333333333333336</v>
      </c>
    </row>
    <row r="14" spans="1:18" x14ac:dyDescent="0.25">
      <c r="A14" s="2" t="s">
        <v>22</v>
      </c>
      <c r="B14" s="2">
        <v>271496</v>
      </c>
      <c r="C14" s="2" t="s">
        <v>88</v>
      </c>
      <c r="D14" s="3">
        <v>45243</v>
      </c>
      <c r="E14" s="2">
        <v>60</v>
      </c>
      <c r="F14" s="2">
        <v>90</v>
      </c>
      <c r="G14" s="2">
        <v>5400</v>
      </c>
      <c r="H14" s="2">
        <v>0</v>
      </c>
      <c r="I14" s="2">
        <v>72000</v>
      </c>
      <c r="J14" s="4">
        <v>5.1999999999999998E-2</v>
      </c>
      <c r="K14" s="4">
        <v>7.4999999999999997E-2</v>
      </c>
      <c r="L14" s="4">
        <v>0.1</v>
      </c>
      <c r="M14" s="2">
        <v>90</v>
      </c>
      <c r="N14" s="2">
        <v>3744</v>
      </c>
      <c r="O14" s="5">
        <v>1656</v>
      </c>
      <c r="P14" s="5">
        <f t="shared" si="0"/>
        <v>374.40000000000003</v>
      </c>
      <c r="Q14" s="6">
        <f t="shared" si="1"/>
        <v>3369.6</v>
      </c>
      <c r="R14" s="9">
        <f t="shared" si="2"/>
        <v>0.69333333333333336</v>
      </c>
    </row>
    <row r="15" spans="1:18" x14ac:dyDescent="0.25">
      <c r="A15" s="2" t="s">
        <v>23</v>
      </c>
      <c r="B15" s="2">
        <v>271496</v>
      </c>
      <c r="C15" s="2" t="s">
        <v>88</v>
      </c>
      <c r="D15" s="3">
        <v>45245</v>
      </c>
      <c r="E15" s="2">
        <v>60</v>
      </c>
      <c r="F15" s="2">
        <v>30</v>
      </c>
      <c r="G15" s="2">
        <v>1800</v>
      </c>
      <c r="H15" s="2">
        <v>0</v>
      </c>
      <c r="I15" s="2">
        <v>24000</v>
      </c>
      <c r="J15" s="4">
        <v>5.1999999999999998E-2</v>
      </c>
      <c r="K15" s="4">
        <v>7.4999999999999997E-2</v>
      </c>
      <c r="L15" s="4">
        <v>0.1</v>
      </c>
      <c r="M15" s="2">
        <v>0</v>
      </c>
      <c r="N15" s="2">
        <v>1248</v>
      </c>
      <c r="O15" s="5">
        <v>552</v>
      </c>
      <c r="P15" s="5">
        <f t="shared" si="0"/>
        <v>124.80000000000001</v>
      </c>
      <c r="Q15" s="6">
        <f t="shared" si="1"/>
        <v>1123.2</v>
      </c>
      <c r="R15" s="9">
        <f t="shared" si="2"/>
        <v>0.69333333333333336</v>
      </c>
    </row>
    <row r="16" spans="1:18" x14ac:dyDescent="0.25">
      <c r="A16" s="2" t="s">
        <v>24</v>
      </c>
      <c r="B16" s="2">
        <v>271496</v>
      </c>
      <c r="C16" s="2" t="s">
        <v>88</v>
      </c>
      <c r="D16" s="3">
        <v>45243</v>
      </c>
      <c r="E16" s="2">
        <v>60</v>
      </c>
      <c r="F16" s="2">
        <v>60</v>
      </c>
      <c r="G16" s="2">
        <v>3600</v>
      </c>
      <c r="H16" s="2">
        <v>0</v>
      </c>
      <c r="I16" s="2">
        <v>48000</v>
      </c>
      <c r="J16" s="4">
        <v>5.1999999999999998E-2</v>
      </c>
      <c r="K16" s="4">
        <v>7.4999999999999997E-2</v>
      </c>
      <c r="L16" s="4">
        <v>0.1</v>
      </c>
      <c r="M16" s="2">
        <v>60</v>
      </c>
      <c r="N16" s="2">
        <v>2496</v>
      </c>
      <c r="O16" s="5">
        <v>1104</v>
      </c>
      <c r="P16" s="5">
        <f t="shared" si="0"/>
        <v>249.60000000000002</v>
      </c>
      <c r="Q16" s="6">
        <f t="shared" si="1"/>
        <v>2246.4</v>
      </c>
      <c r="R16" s="9">
        <f t="shared" si="2"/>
        <v>0.69333333333333336</v>
      </c>
    </row>
    <row r="17" spans="1:18" x14ac:dyDescent="0.25">
      <c r="A17" s="2" t="s">
        <v>25</v>
      </c>
      <c r="B17" s="2">
        <v>271496</v>
      </c>
      <c r="C17" s="2" t="s">
        <v>88</v>
      </c>
      <c r="D17" s="3">
        <v>45240</v>
      </c>
      <c r="E17" s="2">
        <v>60</v>
      </c>
      <c r="F17" s="2">
        <v>30</v>
      </c>
      <c r="G17" s="2">
        <v>1800</v>
      </c>
      <c r="H17" s="2">
        <v>0</v>
      </c>
      <c r="I17" s="2">
        <v>24000</v>
      </c>
      <c r="J17" s="4">
        <v>5.1999999999999998E-2</v>
      </c>
      <c r="K17" s="4">
        <v>7.4999999999999997E-2</v>
      </c>
      <c r="L17" s="4">
        <v>0.1</v>
      </c>
      <c r="M17" s="2">
        <v>30</v>
      </c>
      <c r="N17" s="2">
        <v>1248</v>
      </c>
      <c r="O17" s="5">
        <v>552</v>
      </c>
      <c r="P17" s="5">
        <f t="shared" si="0"/>
        <v>124.80000000000001</v>
      </c>
      <c r="Q17" s="6">
        <f t="shared" si="1"/>
        <v>1123.2</v>
      </c>
      <c r="R17" s="9">
        <f t="shared" si="2"/>
        <v>0.69333333333333336</v>
      </c>
    </row>
    <row r="18" spans="1:18" x14ac:dyDescent="0.25">
      <c r="A18" s="2" t="s">
        <v>26</v>
      </c>
      <c r="B18" s="2">
        <v>271496</v>
      </c>
      <c r="C18" s="2" t="s">
        <v>88</v>
      </c>
      <c r="D18" s="3">
        <v>45245</v>
      </c>
      <c r="E18" s="2">
        <v>60</v>
      </c>
      <c r="F18" s="2">
        <v>36</v>
      </c>
      <c r="G18" s="2">
        <v>2160</v>
      </c>
      <c r="H18" s="2">
        <v>0</v>
      </c>
      <c r="I18" s="2">
        <v>28800</v>
      </c>
      <c r="J18" s="4">
        <v>5.1999999999999998E-2</v>
      </c>
      <c r="K18" s="4">
        <v>7.4999999999999997E-2</v>
      </c>
      <c r="L18" s="4">
        <v>0.1</v>
      </c>
      <c r="M18" s="2">
        <v>0</v>
      </c>
      <c r="N18" s="2">
        <v>1497.6</v>
      </c>
      <c r="O18" s="5">
        <v>662.40000000000009</v>
      </c>
      <c r="P18" s="5">
        <f t="shared" si="0"/>
        <v>149.76</v>
      </c>
      <c r="Q18" s="6">
        <f t="shared" si="1"/>
        <v>1347.84</v>
      </c>
      <c r="R18" s="9">
        <f t="shared" si="2"/>
        <v>0.69333333333333336</v>
      </c>
    </row>
    <row r="19" spans="1:18" x14ac:dyDescent="0.25">
      <c r="A19" s="2" t="s">
        <v>27</v>
      </c>
      <c r="B19" s="2">
        <v>271496</v>
      </c>
      <c r="C19" s="2" t="s">
        <v>88</v>
      </c>
      <c r="D19" s="3">
        <v>45245</v>
      </c>
      <c r="E19" s="2">
        <v>60</v>
      </c>
      <c r="F19" s="2">
        <v>30</v>
      </c>
      <c r="G19" s="2">
        <v>1800</v>
      </c>
      <c r="H19" s="2">
        <v>0</v>
      </c>
      <c r="I19" s="2">
        <v>24000</v>
      </c>
      <c r="J19" s="4">
        <v>5.1999999999999998E-2</v>
      </c>
      <c r="K19" s="4">
        <v>7.4999999999999997E-2</v>
      </c>
      <c r="L19" s="4">
        <v>0.1</v>
      </c>
      <c r="M19" s="2">
        <v>0</v>
      </c>
      <c r="N19" s="2">
        <v>1248</v>
      </c>
      <c r="O19" s="5">
        <v>552</v>
      </c>
      <c r="P19" s="5">
        <f t="shared" si="0"/>
        <v>124.80000000000001</v>
      </c>
      <c r="Q19" s="6">
        <f t="shared" si="1"/>
        <v>1123.2</v>
      </c>
      <c r="R19" s="9">
        <f t="shared" si="2"/>
        <v>0.69333333333333336</v>
      </c>
    </row>
    <row r="20" spans="1:18" x14ac:dyDescent="0.25">
      <c r="A20" s="2" t="s">
        <v>28</v>
      </c>
      <c r="B20" s="2">
        <v>270854</v>
      </c>
      <c r="C20" s="2" t="s">
        <v>89</v>
      </c>
      <c r="D20" s="3">
        <v>45231</v>
      </c>
      <c r="E20" s="2">
        <v>60</v>
      </c>
      <c r="F20" s="2">
        <v>12.6</v>
      </c>
      <c r="G20" s="2">
        <v>756</v>
      </c>
      <c r="H20" s="2">
        <v>0</v>
      </c>
      <c r="I20" s="2">
        <v>10800</v>
      </c>
      <c r="J20" s="4">
        <v>2.6249999999999999E-2</v>
      </c>
      <c r="K20" s="4">
        <v>7.0000000000000007E-2</v>
      </c>
      <c r="L20" s="4">
        <v>0.1</v>
      </c>
      <c r="M20" s="2">
        <v>12.6</v>
      </c>
      <c r="N20" s="2">
        <v>283.5</v>
      </c>
      <c r="O20" s="5">
        <v>472.50000000000011</v>
      </c>
      <c r="P20" s="5">
        <f t="shared" si="0"/>
        <v>28.35</v>
      </c>
      <c r="Q20" s="6">
        <f t="shared" si="1"/>
        <v>255.15</v>
      </c>
      <c r="R20" s="9">
        <f t="shared" si="2"/>
        <v>0.37499999999999994</v>
      </c>
    </row>
    <row r="21" spans="1:18" x14ac:dyDescent="0.25">
      <c r="A21" s="2" t="s">
        <v>29</v>
      </c>
      <c r="B21" s="2">
        <v>242850</v>
      </c>
      <c r="C21" s="2" t="s">
        <v>90</v>
      </c>
      <c r="D21" s="3">
        <v>45231</v>
      </c>
      <c r="E21" s="2">
        <v>60</v>
      </c>
      <c r="F21" s="2">
        <v>31.5</v>
      </c>
      <c r="G21" s="2">
        <v>1890</v>
      </c>
      <c r="H21" s="2">
        <v>0</v>
      </c>
      <c r="I21" s="7">
        <v>19894.73684210526</v>
      </c>
      <c r="J21" s="4">
        <v>7.1500000000000008E-2</v>
      </c>
      <c r="K21" s="4">
        <v>9.5000000000000001E-2</v>
      </c>
      <c r="L21" s="4">
        <v>0</v>
      </c>
      <c r="M21" s="2">
        <v>31.5</v>
      </c>
      <c r="N21" s="2">
        <v>1422.47</v>
      </c>
      <c r="O21" s="10">
        <v>467.52510489510473</v>
      </c>
      <c r="P21" s="5">
        <f t="shared" si="0"/>
        <v>0</v>
      </c>
      <c r="Q21" s="6">
        <f t="shared" si="1"/>
        <v>1422.47</v>
      </c>
      <c r="R21" s="9">
        <f t="shared" si="2"/>
        <v>0.75263157894736854</v>
      </c>
    </row>
    <row r="22" spans="1:18" x14ac:dyDescent="0.25">
      <c r="A22" s="2" t="s">
        <v>30</v>
      </c>
      <c r="B22" s="2">
        <v>270870</v>
      </c>
      <c r="C22" s="2" t="s">
        <v>91</v>
      </c>
      <c r="D22" s="3">
        <v>45245</v>
      </c>
      <c r="E22" s="2">
        <v>60</v>
      </c>
      <c r="F22" s="2">
        <v>30</v>
      </c>
      <c r="G22" s="2">
        <v>1800</v>
      </c>
      <c r="H22" s="2">
        <v>0</v>
      </c>
      <c r="I22" s="2">
        <v>24000</v>
      </c>
      <c r="J22" s="4">
        <v>4.8000000000000001E-2</v>
      </c>
      <c r="K22" s="4">
        <v>7.4999999999999997E-2</v>
      </c>
      <c r="L22" s="4">
        <v>0.1</v>
      </c>
      <c r="M22" s="2">
        <v>0</v>
      </c>
      <c r="N22" s="2">
        <v>1152</v>
      </c>
      <c r="O22" s="5">
        <v>648</v>
      </c>
      <c r="P22" s="5">
        <f t="shared" si="0"/>
        <v>115.2</v>
      </c>
      <c r="Q22" s="6">
        <f t="shared" si="1"/>
        <v>1036.8</v>
      </c>
      <c r="R22" s="9">
        <f t="shared" si="2"/>
        <v>0.64</v>
      </c>
    </row>
    <row r="23" spans="1:18" x14ac:dyDescent="0.25">
      <c r="A23" s="2" t="s">
        <v>31</v>
      </c>
      <c r="B23" s="2">
        <v>270870</v>
      </c>
      <c r="C23" s="2" t="s">
        <v>91</v>
      </c>
      <c r="D23" s="3">
        <v>45245</v>
      </c>
      <c r="E23" s="2">
        <v>60</v>
      </c>
      <c r="F23" s="2">
        <v>30</v>
      </c>
      <c r="G23" s="2">
        <v>1800</v>
      </c>
      <c r="H23" s="2">
        <v>0</v>
      </c>
      <c r="I23" s="2">
        <v>24000</v>
      </c>
      <c r="J23" s="4">
        <v>4.8000000000000001E-2</v>
      </c>
      <c r="K23" s="4">
        <v>7.4999999999999997E-2</v>
      </c>
      <c r="L23" s="4">
        <v>0.1</v>
      </c>
      <c r="M23" s="2">
        <v>0</v>
      </c>
      <c r="N23" s="2">
        <v>1152</v>
      </c>
      <c r="O23" s="5">
        <v>648</v>
      </c>
      <c r="P23" s="5">
        <f t="shared" si="0"/>
        <v>115.2</v>
      </c>
      <c r="Q23" s="6">
        <f t="shared" si="1"/>
        <v>1036.8</v>
      </c>
      <c r="R23" s="9">
        <f t="shared" si="2"/>
        <v>0.64</v>
      </c>
    </row>
    <row r="24" spans="1:18" x14ac:dyDescent="0.25">
      <c r="A24" s="2" t="s">
        <v>32</v>
      </c>
      <c r="B24" s="2">
        <v>270870</v>
      </c>
      <c r="C24" s="2" t="s">
        <v>91</v>
      </c>
      <c r="D24" s="3">
        <v>45245</v>
      </c>
      <c r="E24" s="2">
        <v>60</v>
      </c>
      <c r="F24" s="2">
        <v>30</v>
      </c>
      <c r="G24" s="2">
        <v>1800</v>
      </c>
      <c r="H24" s="2">
        <v>0</v>
      </c>
      <c r="I24" s="2">
        <v>24000</v>
      </c>
      <c r="J24" s="4">
        <v>4.8000000000000001E-2</v>
      </c>
      <c r="K24" s="4">
        <v>7.4999999999999997E-2</v>
      </c>
      <c r="L24" s="4">
        <v>0.1</v>
      </c>
      <c r="M24" s="2">
        <v>0</v>
      </c>
      <c r="N24" s="2">
        <v>1152</v>
      </c>
      <c r="O24" s="5">
        <v>648</v>
      </c>
      <c r="P24" s="5">
        <f t="shared" si="0"/>
        <v>115.2</v>
      </c>
      <c r="Q24" s="6">
        <f t="shared" si="1"/>
        <v>1036.8</v>
      </c>
      <c r="R24" s="9">
        <f t="shared" si="2"/>
        <v>0.64</v>
      </c>
    </row>
    <row r="25" spans="1:18" x14ac:dyDescent="0.25">
      <c r="A25" s="2" t="s">
        <v>33</v>
      </c>
      <c r="B25" s="2">
        <v>270870</v>
      </c>
      <c r="C25" s="2" t="s">
        <v>91</v>
      </c>
      <c r="D25" s="3">
        <v>45245</v>
      </c>
      <c r="E25" s="2">
        <v>60</v>
      </c>
      <c r="F25" s="2">
        <v>30</v>
      </c>
      <c r="G25" s="2">
        <v>1800</v>
      </c>
      <c r="H25" s="2">
        <v>0</v>
      </c>
      <c r="I25" s="2">
        <v>24000</v>
      </c>
      <c r="J25" s="4">
        <v>4.8000000000000001E-2</v>
      </c>
      <c r="K25" s="4">
        <v>7.4999999999999997E-2</v>
      </c>
      <c r="L25" s="4">
        <v>0.1</v>
      </c>
      <c r="M25" s="2">
        <v>0</v>
      </c>
      <c r="N25" s="2">
        <v>1152</v>
      </c>
      <c r="O25" s="5">
        <v>648</v>
      </c>
      <c r="P25" s="5">
        <f t="shared" si="0"/>
        <v>115.2</v>
      </c>
      <c r="Q25" s="6">
        <f t="shared" si="1"/>
        <v>1036.8</v>
      </c>
      <c r="R25" s="9">
        <f t="shared" si="2"/>
        <v>0.64</v>
      </c>
    </row>
    <row r="26" spans="1:18" x14ac:dyDescent="0.25">
      <c r="A26" s="2" t="s">
        <v>34</v>
      </c>
      <c r="B26" s="2">
        <v>271458</v>
      </c>
      <c r="C26" s="2" t="s">
        <v>92</v>
      </c>
      <c r="D26" s="3">
        <v>45231</v>
      </c>
      <c r="E26" s="2">
        <v>60</v>
      </c>
      <c r="F26" s="2">
        <v>140</v>
      </c>
      <c r="G26" s="2">
        <v>8400</v>
      </c>
      <c r="H26" s="2">
        <v>0</v>
      </c>
      <c r="I26" s="2">
        <v>112000</v>
      </c>
      <c r="J26" s="4">
        <v>4.8000000000000001E-2</v>
      </c>
      <c r="K26" s="4">
        <v>7.4999999999999997E-2</v>
      </c>
      <c r="L26" s="4">
        <v>0.1</v>
      </c>
      <c r="M26" s="2">
        <v>140</v>
      </c>
      <c r="N26" s="2">
        <v>5376</v>
      </c>
      <c r="O26" s="5">
        <v>3024</v>
      </c>
      <c r="P26" s="5">
        <f t="shared" si="0"/>
        <v>537.6</v>
      </c>
      <c r="Q26" s="6">
        <f t="shared" si="1"/>
        <v>4838.3999999999996</v>
      </c>
      <c r="R26" s="9">
        <f t="shared" si="2"/>
        <v>0.64</v>
      </c>
    </row>
    <row r="27" spans="1:18" x14ac:dyDescent="0.25">
      <c r="A27" s="2" t="s">
        <v>35</v>
      </c>
      <c r="B27" s="2">
        <v>232550</v>
      </c>
      <c r="C27" s="2" t="s">
        <v>93</v>
      </c>
      <c r="D27" s="3">
        <v>45231</v>
      </c>
      <c r="E27" s="2">
        <v>60</v>
      </c>
      <c r="F27" s="2">
        <v>72</v>
      </c>
      <c r="G27" s="2">
        <v>4320</v>
      </c>
      <c r="H27" s="2">
        <v>0</v>
      </c>
      <c r="I27" s="2">
        <v>48000</v>
      </c>
      <c r="J27" s="4">
        <v>5.800000000000001E-2</v>
      </c>
      <c r="K27" s="4">
        <v>0.09</v>
      </c>
      <c r="L27" s="4">
        <v>0.1</v>
      </c>
      <c r="M27" s="2">
        <v>72</v>
      </c>
      <c r="N27" s="2">
        <v>2784</v>
      </c>
      <c r="O27" s="5">
        <v>1535.9999999999991</v>
      </c>
      <c r="P27" s="5">
        <f t="shared" si="0"/>
        <v>278.40000000000003</v>
      </c>
      <c r="Q27" s="6">
        <f t="shared" si="1"/>
        <v>2505.6</v>
      </c>
      <c r="R27" s="9">
        <f t="shared" si="2"/>
        <v>0.6444444444444446</v>
      </c>
    </row>
    <row r="28" spans="1:18" x14ac:dyDescent="0.25">
      <c r="A28" s="2" t="s">
        <v>36</v>
      </c>
      <c r="B28" s="2">
        <v>232550</v>
      </c>
      <c r="C28" s="2" t="s">
        <v>93</v>
      </c>
      <c r="D28" s="3">
        <v>45231</v>
      </c>
      <c r="E28" s="2">
        <v>60</v>
      </c>
      <c r="F28" s="2">
        <v>76</v>
      </c>
      <c r="G28" s="2">
        <v>4560</v>
      </c>
      <c r="H28" s="2">
        <v>0</v>
      </c>
      <c r="I28" s="2">
        <v>48000</v>
      </c>
      <c r="J28" s="4">
        <v>5.45E-2</v>
      </c>
      <c r="K28" s="4">
        <v>9.5000000000000001E-2</v>
      </c>
      <c r="L28" s="4">
        <v>0.1</v>
      </c>
      <c r="M28" s="2">
        <v>76</v>
      </c>
      <c r="N28" s="2">
        <v>2616</v>
      </c>
      <c r="O28" s="5">
        <v>1944</v>
      </c>
      <c r="P28" s="5">
        <f t="shared" si="0"/>
        <v>261.60000000000002</v>
      </c>
      <c r="Q28" s="6">
        <f t="shared" si="1"/>
        <v>2354.4</v>
      </c>
      <c r="R28" s="9">
        <f t="shared" si="2"/>
        <v>0.5736842105263158</v>
      </c>
    </row>
    <row r="29" spans="1:18" x14ac:dyDescent="0.25">
      <c r="A29" s="2" t="s">
        <v>37</v>
      </c>
      <c r="B29" s="2">
        <v>270990</v>
      </c>
      <c r="C29" s="2" t="s">
        <v>94</v>
      </c>
      <c r="D29" s="3">
        <v>45231</v>
      </c>
      <c r="E29" s="2">
        <v>60</v>
      </c>
      <c r="F29" s="2">
        <v>38</v>
      </c>
      <c r="G29" s="2">
        <v>2280</v>
      </c>
      <c r="H29" s="2">
        <v>0</v>
      </c>
      <c r="I29" s="2">
        <v>24000</v>
      </c>
      <c r="J29" s="4">
        <v>6.4000000000000001E-2</v>
      </c>
      <c r="K29" s="4">
        <v>9.5000000000000001E-2</v>
      </c>
      <c r="L29" s="4">
        <v>0.1</v>
      </c>
      <c r="M29" s="2">
        <v>38</v>
      </c>
      <c r="N29" s="2">
        <v>1536</v>
      </c>
      <c r="O29" s="5">
        <v>744</v>
      </c>
      <c r="P29" s="5">
        <f t="shared" si="0"/>
        <v>153.60000000000002</v>
      </c>
      <c r="Q29" s="6">
        <f t="shared" si="1"/>
        <v>1382.4</v>
      </c>
      <c r="R29" s="9">
        <f t="shared" si="2"/>
        <v>0.67368421052631577</v>
      </c>
    </row>
    <row r="30" spans="1:18" x14ac:dyDescent="0.25">
      <c r="A30" s="2" t="s">
        <v>38</v>
      </c>
      <c r="B30" s="2">
        <v>270990</v>
      </c>
      <c r="C30" s="2" t="s">
        <v>94</v>
      </c>
      <c r="D30" s="3">
        <v>45231</v>
      </c>
      <c r="E30" s="2">
        <v>60</v>
      </c>
      <c r="F30" s="2">
        <v>45.6</v>
      </c>
      <c r="G30" s="2">
        <v>2736</v>
      </c>
      <c r="H30" s="2">
        <v>0</v>
      </c>
      <c r="I30" s="2">
        <v>28800</v>
      </c>
      <c r="J30" s="4">
        <v>6.4000000000000001E-2</v>
      </c>
      <c r="K30" s="4">
        <v>9.5000000000000001E-2</v>
      </c>
      <c r="L30" s="4">
        <v>0.1</v>
      </c>
      <c r="M30" s="2">
        <v>45.6</v>
      </c>
      <c r="N30" s="2">
        <v>1843.2</v>
      </c>
      <c r="O30" s="5">
        <v>892.8</v>
      </c>
      <c r="P30" s="5">
        <f t="shared" si="0"/>
        <v>184.32000000000002</v>
      </c>
      <c r="Q30" s="6">
        <f t="shared" si="1"/>
        <v>1658.88</v>
      </c>
      <c r="R30" s="9">
        <f t="shared" si="2"/>
        <v>0.67368421052631577</v>
      </c>
    </row>
    <row r="31" spans="1:18" x14ac:dyDescent="0.25">
      <c r="A31" s="2" t="s">
        <v>39</v>
      </c>
      <c r="B31" s="2">
        <v>270970</v>
      </c>
      <c r="C31" s="2" t="s">
        <v>95</v>
      </c>
      <c r="D31" s="3">
        <v>45245</v>
      </c>
      <c r="E31" s="2">
        <v>60</v>
      </c>
      <c r="F31" s="2">
        <v>38</v>
      </c>
      <c r="G31" s="2">
        <v>2280</v>
      </c>
      <c r="H31" s="2">
        <v>0</v>
      </c>
      <c r="I31" s="2">
        <v>24000</v>
      </c>
      <c r="J31" s="4">
        <v>6.4000000000000001E-2</v>
      </c>
      <c r="K31" s="4">
        <v>9.5000000000000001E-2</v>
      </c>
      <c r="L31" s="4">
        <v>0.1</v>
      </c>
      <c r="M31" s="2">
        <v>0</v>
      </c>
      <c r="N31" s="2">
        <v>1536</v>
      </c>
      <c r="O31" s="5">
        <v>744</v>
      </c>
      <c r="P31" s="5">
        <f t="shared" si="0"/>
        <v>153.60000000000002</v>
      </c>
      <c r="Q31" s="6">
        <f t="shared" si="1"/>
        <v>1382.4</v>
      </c>
      <c r="R31" s="9">
        <f t="shared" si="2"/>
        <v>0.67368421052631577</v>
      </c>
    </row>
    <row r="32" spans="1:18" x14ac:dyDescent="0.25">
      <c r="A32" s="2" t="s">
        <v>40</v>
      </c>
      <c r="B32" s="2">
        <v>270970</v>
      </c>
      <c r="C32" s="2" t="s">
        <v>95</v>
      </c>
      <c r="D32" s="3">
        <v>45245</v>
      </c>
      <c r="E32" s="2">
        <v>60</v>
      </c>
      <c r="F32" s="2">
        <v>38</v>
      </c>
      <c r="G32" s="2">
        <v>2280</v>
      </c>
      <c r="H32" s="2">
        <v>0</v>
      </c>
      <c r="I32" s="2">
        <v>24000</v>
      </c>
      <c r="J32" s="4">
        <v>6.4000000000000001E-2</v>
      </c>
      <c r="K32" s="4">
        <v>9.5000000000000001E-2</v>
      </c>
      <c r="L32" s="4">
        <v>0.1</v>
      </c>
      <c r="M32" s="2">
        <v>0</v>
      </c>
      <c r="N32" s="2">
        <v>1536</v>
      </c>
      <c r="O32" s="5">
        <v>744</v>
      </c>
      <c r="P32" s="5">
        <f t="shared" si="0"/>
        <v>153.60000000000002</v>
      </c>
      <c r="Q32" s="6">
        <f t="shared" si="1"/>
        <v>1382.4</v>
      </c>
      <c r="R32" s="9">
        <f t="shared" si="2"/>
        <v>0.67368421052631577</v>
      </c>
    </row>
    <row r="33" spans="1:18" x14ac:dyDescent="0.25">
      <c r="A33" s="2" t="s">
        <v>41</v>
      </c>
      <c r="B33" s="2">
        <v>270970</v>
      </c>
      <c r="C33" s="2" t="s">
        <v>95</v>
      </c>
      <c r="D33" s="3">
        <v>45245</v>
      </c>
      <c r="E33" s="2">
        <v>60</v>
      </c>
      <c r="F33" s="2">
        <v>38</v>
      </c>
      <c r="G33" s="2">
        <v>2280</v>
      </c>
      <c r="H33" s="2">
        <v>0</v>
      </c>
      <c r="I33" s="2">
        <v>24000</v>
      </c>
      <c r="J33" s="4">
        <v>6.4000000000000001E-2</v>
      </c>
      <c r="K33" s="4">
        <v>9.5000000000000001E-2</v>
      </c>
      <c r="L33" s="4">
        <v>0.1</v>
      </c>
      <c r="M33" s="2">
        <v>0</v>
      </c>
      <c r="N33" s="2">
        <v>1536</v>
      </c>
      <c r="O33" s="5">
        <v>744</v>
      </c>
      <c r="P33" s="5">
        <f t="shared" si="0"/>
        <v>153.60000000000002</v>
      </c>
      <c r="Q33" s="6">
        <f t="shared" si="1"/>
        <v>1382.4</v>
      </c>
      <c r="R33" s="9">
        <f t="shared" si="2"/>
        <v>0.67368421052631577</v>
      </c>
    </row>
    <row r="34" spans="1:18" x14ac:dyDescent="0.25">
      <c r="A34" s="2" t="s">
        <v>42</v>
      </c>
      <c r="B34" s="2">
        <v>270970</v>
      </c>
      <c r="C34" s="2" t="s">
        <v>95</v>
      </c>
      <c r="D34" s="3">
        <v>45245</v>
      </c>
      <c r="E34" s="2">
        <v>60</v>
      </c>
      <c r="F34" s="2">
        <v>108</v>
      </c>
      <c r="G34" s="2">
        <v>6480</v>
      </c>
      <c r="H34" s="2">
        <v>0</v>
      </c>
      <c r="I34" s="2">
        <v>72000</v>
      </c>
      <c r="J34" s="4">
        <v>6.7500000000000004E-2</v>
      </c>
      <c r="K34" s="4">
        <v>0.09</v>
      </c>
      <c r="L34" s="4">
        <v>0.1</v>
      </c>
      <c r="M34" s="2">
        <v>0</v>
      </c>
      <c r="N34" s="2">
        <v>4860</v>
      </c>
      <c r="O34" s="5">
        <v>1620</v>
      </c>
      <c r="P34" s="5">
        <f t="shared" si="0"/>
        <v>486</v>
      </c>
      <c r="Q34" s="6">
        <f t="shared" si="1"/>
        <v>4374</v>
      </c>
      <c r="R34" s="9">
        <f t="shared" si="2"/>
        <v>0.75000000000000011</v>
      </c>
    </row>
    <row r="35" spans="1:18" x14ac:dyDescent="0.25">
      <c r="A35" s="2" t="s">
        <v>43</v>
      </c>
      <c r="B35" s="2">
        <v>270970</v>
      </c>
      <c r="C35" s="2" t="s">
        <v>95</v>
      </c>
      <c r="D35" s="3">
        <v>45245</v>
      </c>
      <c r="E35" s="2">
        <v>60</v>
      </c>
      <c r="F35" s="2">
        <v>25.2</v>
      </c>
      <c r="G35" s="2">
        <v>1512</v>
      </c>
      <c r="H35" s="2">
        <v>0</v>
      </c>
      <c r="I35" s="2">
        <v>16800</v>
      </c>
      <c r="J35" s="4">
        <v>6.7500000000000004E-2</v>
      </c>
      <c r="K35" s="4">
        <v>0.09</v>
      </c>
      <c r="L35" s="4">
        <v>0.1</v>
      </c>
      <c r="M35" s="2">
        <v>0</v>
      </c>
      <c r="N35" s="2">
        <v>1134</v>
      </c>
      <c r="O35" s="5">
        <v>378</v>
      </c>
      <c r="P35" s="5">
        <f t="shared" si="0"/>
        <v>113.4</v>
      </c>
      <c r="Q35" s="6">
        <f t="shared" si="1"/>
        <v>1020.6</v>
      </c>
      <c r="R35" s="9">
        <f t="shared" si="2"/>
        <v>0.75000000000000011</v>
      </c>
    </row>
    <row r="36" spans="1:18" x14ac:dyDescent="0.25">
      <c r="A36" s="2" t="s">
        <v>44</v>
      </c>
      <c r="B36" s="2">
        <v>270970</v>
      </c>
      <c r="C36" s="2" t="s">
        <v>95</v>
      </c>
      <c r="D36" s="3">
        <v>45245</v>
      </c>
      <c r="E36" s="2">
        <v>60</v>
      </c>
      <c r="F36" s="2">
        <v>76</v>
      </c>
      <c r="G36" s="2">
        <v>4560</v>
      </c>
      <c r="H36" s="2">
        <v>0</v>
      </c>
      <c r="I36" s="2">
        <v>48000</v>
      </c>
      <c r="J36" s="4">
        <v>6.4000000000000001E-2</v>
      </c>
      <c r="K36" s="4">
        <v>9.5000000000000001E-2</v>
      </c>
      <c r="L36" s="4">
        <v>0.1</v>
      </c>
      <c r="M36" s="2">
        <v>0</v>
      </c>
      <c r="N36" s="2">
        <v>3072</v>
      </c>
      <c r="O36" s="5">
        <v>1488</v>
      </c>
      <c r="P36" s="5">
        <f t="shared" si="0"/>
        <v>307.20000000000005</v>
      </c>
      <c r="Q36" s="6">
        <f t="shared" si="1"/>
        <v>2764.8</v>
      </c>
      <c r="R36" s="9">
        <f t="shared" si="2"/>
        <v>0.67368421052631577</v>
      </c>
    </row>
    <row r="37" spans="1:18" x14ac:dyDescent="0.25">
      <c r="A37" s="2" t="s">
        <v>45</v>
      </c>
      <c r="B37" s="2">
        <v>270970</v>
      </c>
      <c r="C37" s="2" t="s">
        <v>95</v>
      </c>
      <c r="D37" s="3">
        <v>45245</v>
      </c>
      <c r="E37" s="2">
        <v>60</v>
      </c>
      <c r="F37" s="2">
        <v>38</v>
      </c>
      <c r="G37" s="2">
        <v>2280</v>
      </c>
      <c r="H37" s="2">
        <v>0</v>
      </c>
      <c r="I37" s="2">
        <v>24000</v>
      </c>
      <c r="J37" s="4">
        <v>6.4000000000000001E-2</v>
      </c>
      <c r="K37" s="4">
        <v>9.5000000000000001E-2</v>
      </c>
      <c r="L37" s="4">
        <v>0.1</v>
      </c>
      <c r="M37" s="2">
        <v>0</v>
      </c>
      <c r="N37" s="2">
        <v>1536</v>
      </c>
      <c r="O37" s="5">
        <v>744</v>
      </c>
      <c r="P37" s="5">
        <f t="shared" si="0"/>
        <v>153.60000000000002</v>
      </c>
      <c r="Q37" s="6">
        <f t="shared" si="1"/>
        <v>1382.4</v>
      </c>
      <c r="R37" s="9">
        <f t="shared" si="2"/>
        <v>0.67368421052631577</v>
      </c>
    </row>
    <row r="38" spans="1:18" x14ac:dyDescent="0.25">
      <c r="A38" s="2" t="s">
        <v>46</v>
      </c>
      <c r="B38" s="2">
        <v>270970</v>
      </c>
      <c r="C38" s="2" t="s">
        <v>95</v>
      </c>
      <c r="D38" s="3">
        <v>45245</v>
      </c>
      <c r="E38" s="2">
        <v>60</v>
      </c>
      <c r="F38" s="2">
        <v>36.1</v>
      </c>
      <c r="G38" s="2">
        <v>2166</v>
      </c>
      <c r="H38" s="2">
        <v>0</v>
      </c>
      <c r="I38" s="2">
        <v>22800</v>
      </c>
      <c r="J38" s="4">
        <v>6.4000000000000001E-2</v>
      </c>
      <c r="K38" s="4">
        <v>9.5000000000000001E-2</v>
      </c>
      <c r="L38" s="4">
        <v>0.1</v>
      </c>
      <c r="M38" s="2">
        <v>0</v>
      </c>
      <c r="N38" s="2">
        <v>1459.2</v>
      </c>
      <c r="O38" s="5">
        <v>706.8</v>
      </c>
      <c r="P38" s="5">
        <f t="shared" si="0"/>
        <v>145.92000000000002</v>
      </c>
      <c r="Q38" s="6">
        <f t="shared" si="1"/>
        <v>1313.28</v>
      </c>
      <c r="R38" s="9">
        <f t="shared" si="2"/>
        <v>0.67368421052631577</v>
      </c>
    </row>
    <row r="39" spans="1:18" x14ac:dyDescent="0.25">
      <c r="A39" s="2" t="s">
        <v>47</v>
      </c>
      <c r="B39" s="2">
        <v>250120</v>
      </c>
      <c r="C39" s="2" t="s">
        <v>96</v>
      </c>
      <c r="D39" s="3">
        <v>45231</v>
      </c>
      <c r="E39" s="2">
        <v>60</v>
      </c>
      <c r="F39" s="2">
        <v>60</v>
      </c>
      <c r="G39" s="2">
        <v>3600</v>
      </c>
      <c r="H39" s="2">
        <v>0</v>
      </c>
      <c r="I39" s="2">
        <v>48000</v>
      </c>
      <c r="J39" s="4">
        <v>5.2999999999999999E-2</v>
      </c>
      <c r="K39" s="4">
        <v>7.4999999999999997E-2</v>
      </c>
      <c r="L39" s="4">
        <v>0.1</v>
      </c>
      <c r="M39" s="2">
        <v>60</v>
      </c>
      <c r="N39" s="2">
        <v>2544</v>
      </c>
      <c r="O39" s="5">
        <v>1056</v>
      </c>
      <c r="P39" s="5">
        <f t="shared" si="0"/>
        <v>254.4</v>
      </c>
      <c r="Q39" s="6">
        <f t="shared" si="1"/>
        <v>2289.6</v>
      </c>
      <c r="R39" s="9">
        <f t="shared" si="2"/>
        <v>0.70666666666666667</v>
      </c>
    </row>
    <row r="40" spans="1:18" x14ac:dyDescent="0.25">
      <c r="A40" s="2" t="s">
        <v>48</v>
      </c>
      <c r="B40" s="2">
        <v>250120</v>
      </c>
      <c r="C40" s="2" t="s">
        <v>96</v>
      </c>
      <c r="D40" s="3">
        <v>45245</v>
      </c>
      <c r="E40" s="2">
        <v>60</v>
      </c>
      <c r="F40" s="2">
        <v>42</v>
      </c>
      <c r="G40" s="2">
        <v>2520</v>
      </c>
      <c r="H40" s="2">
        <v>0</v>
      </c>
      <c r="I40" s="2">
        <v>36000</v>
      </c>
      <c r="J40" s="4">
        <v>5.5E-2</v>
      </c>
      <c r="K40" s="4">
        <v>7.0000000000000007E-2</v>
      </c>
      <c r="L40" s="4">
        <v>0.1</v>
      </c>
      <c r="M40" s="2">
        <v>0</v>
      </c>
      <c r="N40" s="2">
        <v>1980</v>
      </c>
      <c r="O40" s="5">
        <v>540.00000000000045</v>
      </c>
      <c r="P40" s="5">
        <f t="shared" si="0"/>
        <v>198</v>
      </c>
      <c r="Q40" s="6">
        <f t="shared" si="1"/>
        <v>1782</v>
      </c>
      <c r="R40" s="9">
        <f t="shared" si="2"/>
        <v>0.7857142857142857</v>
      </c>
    </row>
    <row r="41" spans="1:18" x14ac:dyDescent="0.25">
      <c r="A41" s="2" t="s">
        <v>49</v>
      </c>
      <c r="B41" s="2">
        <v>210011</v>
      </c>
      <c r="C41" s="2" t="s">
        <v>97</v>
      </c>
      <c r="D41" s="3">
        <v>45231</v>
      </c>
      <c r="E41" s="2">
        <v>60</v>
      </c>
      <c r="F41" s="2">
        <v>144</v>
      </c>
      <c r="G41" s="2">
        <v>8640</v>
      </c>
      <c r="H41" s="2">
        <v>0</v>
      </c>
      <c r="I41" s="2">
        <v>96000</v>
      </c>
      <c r="J41" s="4">
        <v>6.4000000000000001E-2</v>
      </c>
      <c r="K41" s="4">
        <v>0.09</v>
      </c>
      <c r="L41" s="4">
        <v>0.1</v>
      </c>
      <c r="M41" s="2">
        <v>0</v>
      </c>
      <c r="N41" s="2">
        <v>6144</v>
      </c>
      <c r="O41" s="5">
        <v>2496</v>
      </c>
      <c r="P41" s="5">
        <f t="shared" si="0"/>
        <v>614.40000000000009</v>
      </c>
      <c r="Q41" s="6">
        <f t="shared" si="1"/>
        <v>5529.6</v>
      </c>
      <c r="R41" s="9">
        <f t="shared" si="2"/>
        <v>0.71111111111111114</v>
      </c>
    </row>
    <row r="42" spans="1:18" x14ac:dyDescent="0.25">
      <c r="A42" s="2" t="s">
        <v>50</v>
      </c>
      <c r="B42" s="2">
        <v>210011</v>
      </c>
      <c r="C42" s="2" t="s">
        <v>97</v>
      </c>
      <c r="D42" s="3">
        <v>45245</v>
      </c>
      <c r="E42" s="2">
        <v>60</v>
      </c>
      <c r="F42" s="2">
        <v>47.25</v>
      </c>
      <c r="G42" s="2">
        <v>2835</v>
      </c>
      <c r="H42" s="2">
        <v>0</v>
      </c>
      <c r="I42" s="2">
        <v>31500</v>
      </c>
      <c r="J42" s="4">
        <v>6.4000000000000001E-2</v>
      </c>
      <c r="K42" s="4">
        <v>0.09</v>
      </c>
      <c r="L42" s="4">
        <v>0.1</v>
      </c>
      <c r="M42" s="2">
        <v>0</v>
      </c>
      <c r="N42" s="2">
        <v>2016</v>
      </c>
      <c r="O42" s="5">
        <v>819</v>
      </c>
      <c r="P42" s="5">
        <f t="shared" si="0"/>
        <v>201.60000000000002</v>
      </c>
      <c r="Q42" s="6">
        <f t="shared" si="1"/>
        <v>1814.4</v>
      </c>
      <c r="R42" s="9">
        <f t="shared" si="2"/>
        <v>0.71111111111111114</v>
      </c>
    </row>
    <row r="43" spans="1:18" x14ac:dyDescent="0.25">
      <c r="A43" s="2" t="s">
        <v>51</v>
      </c>
      <c r="B43" s="2">
        <v>210011</v>
      </c>
      <c r="C43" s="2" t="s">
        <v>97</v>
      </c>
      <c r="D43" s="3">
        <v>45231</v>
      </c>
      <c r="E43" s="2">
        <v>60</v>
      </c>
      <c r="F43" s="2">
        <v>60</v>
      </c>
      <c r="G43" s="2">
        <v>3600</v>
      </c>
      <c r="H43" s="2">
        <v>0</v>
      </c>
      <c r="I43" s="2">
        <v>48000</v>
      </c>
      <c r="J43" s="4">
        <v>4.8000000000000001E-2</v>
      </c>
      <c r="K43" s="4">
        <v>7.4999999999999997E-2</v>
      </c>
      <c r="L43" s="4">
        <v>0.1</v>
      </c>
      <c r="M43" s="2">
        <v>60</v>
      </c>
      <c r="N43" s="2">
        <v>2304</v>
      </c>
      <c r="O43" s="5">
        <v>1296</v>
      </c>
      <c r="P43" s="5">
        <f t="shared" si="0"/>
        <v>230.4</v>
      </c>
      <c r="Q43" s="6">
        <f t="shared" si="1"/>
        <v>2073.6</v>
      </c>
      <c r="R43" s="9">
        <f t="shared" si="2"/>
        <v>0.64</v>
      </c>
    </row>
    <row r="44" spans="1:18" x14ac:dyDescent="0.25">
      <c r="A44" s="2" t="s">
        <v>52</v>
      </c>
      <c r="B44" s="2">
        <v>241730</v>
      </c>
      <c r="C44" s="2" t="s">
        <v>98</v>
      </c>
      <c r="D44" s="3">
        <v>45231</v>
      </c>
      <c r="E44" s="2">
        <v>60</v>
      </c>
      <c r="F44" s="2">
        <v>38</v>
      </c>
      <c r="G44" s="2">
        <v>2280</v>
      </c>
      <c r="H44" s="2">
        <v>0</v>
      </c>
      <c r="I44" s="2">
        <v>24000</v>
      </c>
      <c r="J44" s="4">
        <v>6.9000000000000006E-2</v>
      </c>
      <c r="K44" s="4">
        <v>9.5000000000000001E-2</v>
      </c>
      <c r="L44" s="4">
        <v>0.1</v>
      </c>
      <c r="M44" s="2">
        <v>38</v>
      </c>
      <c r="N44" s="2">
        <v>1656</v>
      </c>
      <c r="O44" s="5">
        <v>623.99999999999955</v>
      </c>
      <c r="P44" s="5">
        <f t="shared" si="0"/>
        <v>165.60000000000002</v>
      </c>
      <c r="Q44" s="6">
        <f t="shared" si="1"/>
        <v>1490.4</v>
      </c>
      <c r="R44" s="9">
        <f t="shared" si="2"/>
        <v>0.72631578947368425</v>
      </c>
    </row>
    <row r="45" spans="1:18" x14ac:dyDescent="0.25">
      <c r="A45" s="2" t="s">
        <v>53</v>
      </c>
      <c r="B45" s="2">
        <v>241730</v>
      </c>
      <c r="C45" s="2" t="s">
        <v>98</v>
      </c>
      <c r="D45" s="3">
        <v>45245</v>
      </c>
      <c r="E45" s="2">
        <v>60</v>
      </c>
      <c r="F45" s="2">
        <v>152</v>
      </c>
      <c r="G45" s="2">
        <v>9120</v>
      </c>
      <c r="H45" s="2">
        <v>0</v>
      </c>
      <c r="I45" s="2">
        <v>96000</v>
      </c>
      <c r="J45" s="4">
        <v>6.9000000000000006E-2</v>
      </c>
      <c r="K45" s="4">
        <v>9.5000000000000001E-2</v>
      </c>
      <c r="L45" s="4">
        <v>0.1</v>
      </c>
      <c r="M45" s="2">
        <v>0</v>
      </c>
      <c r="N45" s="2">
        <v>6624</v>
      </c>
      <c r="O45" s="5">
        <v>2495.9999999999982</v>
      </c>
      <c r="P45" s="5">
        <f t="shared" si="0"/>
        <v>662.40000000000009</v>
      </c>
      <c r="Q45" s="6">
        <f t="shared" si="1"/>
        <v>5961.6</v>
      </c>
      <c r="R45" s="9">
        <f t="shared" si="2"/>
        <v>0.72631578947368425</v>
      </c>
    </row>
    <row r="46" spans="1:18" x14ac:dyDescent="0.25">
      <c r="A46" s="2" t="s">
        <v>54</v>
      </c>
      <c r="B46" s="2">
        <v>241730</v>
      </c>
      <c r="C46" s="2" t="s">
        <v>98</v>
      </c>
      <c r="D46" s="3">
        <v>45245</v>
      </c>
      <c r="E46" s="2">
        <v>60</v>
      </c>
      <c r="F46" s="2">
        <v>108</v>
      </c>
      <c r="G46" s="2">
        <v>6480</v>
      </c>
      <c r="H46" s="2">
        <v>0</v>
      </c>
      <c r="I46" s="2">
        <v>72000</v>
      </c>
      <c r="J46" s="4">
        <v>7.0999999999999994E-2</v>
      </c>
      <c r="K46" s="4">
        <v>0.09</v>
      </c>
      <c r="L46" s="4">
        <v>0.1</v>
      </c>
      <c r="M46" s="2">
        <v>0</v>
      </c>
      <c r="N46" s="2">
        <v>5112</v>
      </c>
      <c r="O46" s="5">
        <v>1368</v>
      </c>
      <c r="P46" s="5">
        <f t="shared" si="0"/>
        <v>511.20000000000005</v>
      </c>
      <c r="Q46" s="6">
        <f t="shared" si="1"/>
        <v>4600.8</v>
      </c>
      <c r="R46" s="9">
        <f t="shared" si="2"/>
        <v>0.78888888888888886</v>
      </c>
    </row>
    <row r="47" spans="1:18" x14ac:dyDescent="0.25">
      <c r="A47" s="2" t="s">
        <v>55</v>
      </c>
      <c r="B47" s="2">
        <v>241730</v>
      </c>
      <c r="C47" s="2" t="s">
        <v>98</v>
      </c>
      <c r="D47" s="3">
        <v>45245</v>
      </c>
      <c r="E47" s="2">
        <v>60</v>
      </c>
      <c r="F47" s="2">
        <v>45.6</v>
      </c>
      <c r="G47" s="2">
        <v>2736</v>
      </c>
      <c r="H47" s="2">
        <v>0</v>
      </c>
      <c r="I47" s="2">
        <v>28800</v>
      </c>
      <c r="J47" s="4">
        <v>6.9000000000000006E-2</v>
      </c>
      <c r="K47" s="4">
        <v>9.5000000000000001E-2</v>
      </c>
      <c r="L47" s="4">
        <v>0.1</v>
      </c>
      <c r="M47" s="2">
        <v>0</v>
      </c>
      <c r="N47" s="2">
        <v>1987.2</v>
      </c>
      <c r="O47" s="5">
        <v>748.8</v>
      </c>
      <c r="P47" s="5">
        <f t="shared" si="0"/>
        <v>198.72000000000003</v>
      </c>
      <c r="Q47" s="6">
        <f t="shared" si="1"/>
        <v>1788.48</v>
      </c>
      <c r="R47" s="9">
        <f t="shared" si="2"/>
        <v>0.72631578947368425</v>
      </c>
    </row>
    <row r="48" spans="1:18" x14ac:dyDescent="0.25">
      <c r="A48" s="2" t="s">
        <v>56</v>
      </c>
      <c r="B48" s="2">
        <v>241730</v>
      </c>
      <c r="C48" s="2" t="s">
        <v>98</v>
      </c>
      <c r="D48" s="3">
        <v>45231</v>
      </c>
      <c r="E48" s="2">
        <v>60</v>
      </c>
      <c r="F48" s="2">
        <v>30</v>
      </c>
      <c r="G48" s="2">
        <v>1800</v>
      </c>
      <c r="H48" s="2">
        <v>0</v>
      </c>
      <c r="I48" s="2">
        <v>18947.36842105263</v>
      </c>
      <c r="J48" s="4">
        <v>6.9000000000000006E-2</v>
      </c>
      <c r="K48" s="4">
        <v>9.5000000000000001E-2</v>
      </c>
      <c r="L48" s="4">
        <v>0.1</v>
      </c>
      <c r="M48" s="2">
        <v>30</v>
      </c>
      <c r="N48" s="2">
        <v>1307.3699999999999</v>
      </c>
      <c r="O48" s="5">
        <v>492.63217391304352</v>
      </c>
      <c r="P48" s="5">
        <f t="shared" si="0"/>
        <v>130.73699999999999</v>
      </c>
      <c r="Q48" s="6">
        <f t="shared" si="1"/>
        <v>1176.6329999999998</v>
      </c>
      <c r="R48" s="9">
        <f t="shared" si="2"/>
        <v>0.72631578947368425</v>
      </c>
    </row>
    <row r="49" spans="1:18" x14ac:dyDescent="0.25">
      <c r="A49" s="2" t="s">
        <v>57</v>
      </c>
      <c r="B49" s="2">
        <v>241730</v>
      </c>
      <c r="C49" s="2" t="s">
        <v>98</v>
      </c>
      <c r="D49" s="3">
        <v>45245</v>
      </c>
      <c r="E49" s="2">
        <v>60</v>
      </c>
      <c r="F49" s="2">
        <v>38</v>
      </c>
      <c r="G49" s="2">
        <v>2280</v>
      </c>
      <c r="H49" s="2">
        <v>0</v>
      </c>
      <c r="I49" s="2">
        <v>24000</v>
      </c>
      <c r="J49" s="4">
        <v>6.9000000000000006E-2</v>
      </c>
      <c r="K49" s="4">
        <v>9.5000000000000001E-2</v>
      </c>
      <c r="L49" s="4">
        <v>0.1</v>
      </c>
      <c r="M49" s="2">
        <v>0</v>
      </c>
      <c r="N49" s="2">
        <v>1656</v>
      </c>
      <c r="O49" s="5">
        <v>623.99999999999955</v>
      </c>
      <c r="P49" s="5">
        <f t="shared" si="0"/>
        <v>165.60000000000002</v>
      </c>
      <c r="Q49" s="6">
        <f t="shared" si="1"/>
        <v>1490.4</v>
      </c>
      <c r="R49" s="9">
        <f t="shared" si="2"/>
        <v>0.72631578947368425</v>
      </c>
    </row>
    <row r="50" spans="1:18" x14ac:dyDescent="0.25">
      <c r="A50" s="2" t="s">
        <v>58</v>
      </c>
      <c r="B50" s="2">
        <v>241730</v>
      </c>
      <c r="C50" s="2" t="s">
        <v>98</v>
      </c>
      <c r="D50" s="3">
        <v>45245</v>
      </c>
      <c r="E50" s="2">
        <v>60</v>
      </c>
      <c r="F50" s="2">
        <v>76</v>
      </c>
      <c r="G50" s="2">
        <v>4560</v>
      </c>
      <c r="H50" s="2">
        <v>0</v>
      </c>
      <c r="I50" s="2">
        <v>48000</v>
      </c>
      <c r="J50" s="4">
        <v>6.9000000000000006E-2</v>
      </c>
      <c r="K50" s="4">
        <v>9.5000000000000001E-2</v>
      </c>
      <c r="L50" s="4">
        <v>0.1</v>
      </c>
      <c r="M50" s="2">
        <v>0</v>
      </c>
      <c r="N50" s="2">
        <v>3312</v>
      </c>
      <c r="O50" s="5">
        <v>1247.9999999999991</v>
      </c>
      <c r="P50" s="5">
        <f t="shared" si="0"/>
        <v>331.20000000000005</v>
      </c>
      <c r="Q50" s="6">
        <f t="shared" si="1"/>
        <v>2980.8</v>
      </c>
      <c r="R50" s="9">
        <f t="shared" si="2"/>
        <v>0.72631578947368425</v>
      </c>
    </row>
    <row r="51" spans="1:18" x14ac:dyDescent="0.25">
      <c r="A51" s="2" t="s">
        <v>59</v>
      </c>
      <c r="B51" s="2">
        <v>241730</v>
      </c>
      <c r="C51" s="2" t="s">
        <v>98</v>
      </c>
      <c r="D51" s="3">
        <v>45245</v>
      </c>
      <c r="E51" s="2">
        <v>60</v>
      </c>
      <c r="F51" s="2">
        <v>38</v>
      </c>
      <c r="G51" s="2">
        <v>2280</v>
      </c>
      <c r="H51" s="2">
        <v>0</v>
      </c>
      <c r="I51" s="2">
        <v>24000</v>
      </c>
      <c r="J51" s="4">
        <v>6.9000000000000006E-2</v>
      </c>
      <c r="K51" s="4">
        <v>9.5000000000000001E-2</v>
      </c>
      <c r="L51" s="4">
        <v>0.1</v>
      </c>
      <c r="M51" s="2">
        <v>0</v>
      </c>
      <c r="N51" s="2">
        <v>1656</v>
      </c>
      <c r="O51" s="5">
        <v>623.99999999999955</v>
      </c>
      <c r="P51" s="5">
        <f t="shared" si="0"/>
        <v>165.60000000000002</v>
      </c>
      <c r="Q51" s="6">
        <f t="shared" si="1"/>
        <v>1490.4</v>
      </c>
      <c r="R51" s="9">
        <f t="shared" si="2"/>
        <v>0.72631578947368425</v>
      </c>
    </row>
    <row r="52" spans="1:18" x14ac:dyDescent="0.25">
      <c r="A52" s="2" t="s">
        <v>60</v>
      </c>
      <c r="B52" s="2">
        <v>241730</v>
      </c>
      <c r="C52" s="2" t="s">
        <v>98</v>
      </c>
      <c r="D52" s="3">
        <v>45245</v>
      </c>
      <c r="E52" s="2">
        <v>60</v>
      </c>
      <c r="F52" s="2">
        <v>57</v>
      </c>
      <c r="G52" s="2">
        <v>3420</v>
      </c>
      <c r="H52" s="2">
        <v>0</v>
      </c>
      <c r="I52" s="2">
        <v>36000</v>
      </c>
      <c r="J52" s="4">
        <v>6.9000000000000006E-2</v>
      </c>
      <c r="K52" s="4">
        <v>9.5000000000000001E-2</v>
      </c>
      <c r="L52" s="4">
        <v>0.1</v>
      </c>
      <c r="M52" s="2">
        <v>0</v>
      </c>
      <c r="N52" s="2">
        <v>2484</v>
      </c>
      <c r="O52" s="5">
        <v>936</v>
      </c>
      <c r="P52" s="5">
        <f t="shared" si="0"/>
        <v>248.4</v>
      </c>
      <c r="Q52" s="6">
        <f t="shared" si="1"/>
        <v>2235.6</v>
      </c>
      <c r="R52" s="9">
        <f t="shared" si="2"/>
        <v>0.72631578947368425</v>
      </c>
    </row>
    <row r="53" spans="1:18" x14ac:dyDescent="0.25">
      <c r="A53" s="2" t="s">
        <v>61</v>
      </c>
      <c r="B53" s="2">
        <v>241730</v>
      </c>
      <c r="C53" s="2" t="s">
        <v>98</v>
      </c>
      <c r="D53" s="3">
        <v>45245</v>
      </c>
      <c r="E53" s="2">
        <v>60</v>
      </c>
      <c r="F53" s="2">
        <v>32.4</v>
      </c>
      <c r="G53" s="2">
        <v>1944</v>
      </c>
      <c r="H53" s="2">
        <v>0</v>
      </c>
      <c r="I53" s="2">
        <v>21600</v>
      </c>
      <c r="J53" s="4">
        <v>7.0999999999999994E-2</v>
      </c>
      <c r="K53" s="4">
        <v>0.09</v>
      </c>
      <c r="L53" s="4">
        <v>0.1</v>
      </c>
      <c r="M53" s="2">
        <v>0</v>
      </c>
      <c r="N53" s="2">
        <v>1533.6</v>
      </c>
      <c r="O53" s="5">
        <v>410.40000000000009</v>
      </c>
      <c r="P53" s="5">
        <f t="shared" si="0"/>
        <v>153.35999999999999</v>
      </c>
      <c r="Q53" s="6">
        <f t="shared" si="1"/>
        <v>1380.24</v>
      </c>
      <c r="R53" s="9">
        <f t="shared" si="2"/>
        <v>0.78888888888888886</v>
      </c>
    </row>
    <row r="54" spans="1:18" x14ac:dyDescent="0.25">
      <c r="A54" s="2" t="s">
        <v>62</v>
      </c>
      <c r="B54" s="2">
        <v>241730</v>
      </c>
      <c r="C54" s="2" t="s">
        <v>98</v>
      </c>
      <c r="D54" s="3">
        <v>45245</v>
      </c>
      <c r="E54" s="2">
        <v>60</v>
      </c>
      <c r="F54" s="2">
        <v>190</v>
      </c>
      <c r="G54" s="2">
        <v>11400</v>
      </c>
      <c r="H54" s="2">
        <v>0</v>
      </c>
      <c r="I54" s="2">
        <v>120000</v>
      </c>
      <c r="J54" s="4">
        <v>6.9000000000000006E-2</v>
      </c>
      <c r="K54" s="4">
        <v>9.5000000000000001E-2</v>
      </c>
      <c r="L54" s="4">
        <v>0.1</v>
      </c>
      <c r="M54" s="2">
        <v>0</v>
      </c>
      <c r="N54" s="2">
        <v>8280</v>
      </c>
      <c r="O54" s="5">
        <v>3119.9999999999982</v>
      </c>
      <c r="P54" s="5">
        <f t="shared" si="0"/>
        <v>828</v>
      </c>
      <c r="Q54" s="6">
        <f t="shared" si="1"/>
        <v>7452</v>
      </c>
      <c r="R54" s="9">
        <f t="shared" si="2"/>
        <v>0.72631578947368425</v>
      </c>
    </row>
    <row r="55" spans="1:18" x14ac:dyDescent="0.25">
      <c r="A55" s="2" t="s">
        <v>63</v>
      </c>
      <c r="B55" s="2">
        <v>241730</v>
      </c>
      <c r="C55" s="2" t="s">
        <v>98</v>
      </c>
      <c r="D55" s="3">
        <v>45231</v>
      </c>
      <c r="E55" s="2">
        <v>60</v>
      </c>
      <c r="F55" s="2">
        <v>41.8</v>
      </c>
      <c r="G55" s="2">
        <v>2508</v>
      </c>
      <c r="H55" s="2">
        <v>0</v>
      </c>
      <c r="I55" s="2">
        <v>26400</v>
      </c>
      <c r="J55" s="4">
        <v>6.9000000000000006E-2</v>
      </c>
      <c r="K55" s="4">
        <v>9.5000000000000001E-2</v>
      </c>
      <c r="L55" s="4">
        <v>0.1</v>
      </c>
      <c r="M55" s="2">
        <v>41.8</v>
      </c>
      <c r="N55" s="2">
        <v>1821.6</v>
      </c>
      <c r="O55" s="5">
        <v>686.39999999999964</v>
      </c>
      <c r="P55" s="5">
        <f t="shared" si="0"/>
        <v>182.16</v>
      </c>
      <c r="Q55" s="6">
        <f t="shared" si="1"/>
        <v>1639.4399999999998</v>
      </c>
      <c r="R55" s="9">
        <f t="shared" si="2"/>
        <v>0.72631578947368425</v>
      </c>
    </row>
    <row r="56" spans="1:18" x14ac:dyDescent="0.25">
      <c r="A56" s="2" t="s">
        <v>64</v>
      </c>
      <c r="B56" s="2">
        <v>241730</v>
      </c>
      <c r="C56" s="2" t="s">
        <v>98</v>
      </c>
      <c r="D56" s="3">
        <v>45231</v>
      </c>
      <c r="E56" s="2">
        <v>60</v>
      </c>
      <c r="F56" s="2">
        <v>36</v>
      </c>
      <c r="G56" s="2">
        <v>2160</v>
      </c>
      <c r="H56" s="2">
        <v>0</v>
      </c>
      <c r="I56" s="2">
        <v>24000</v>
      </c>
      <c r="J56" s="4">
        <v>7.0999999999999994E-2</v>
      </c>
      <c r="K56" s="4">
        <v>0.09</v>
      </c>
      <c r="L56" s="4">
        <v>0.1</v>
      </c>
      <c r="M56" s="2">
        <v>36</v>
      </c>
      <c r="N56" s="2">
        <v>1704</v>
      </c>
      <c r="O56" s="5">
        <v>456.00000000000045</v>
      </c>
      <c r="P56" s="5">
        <f t="shared" si="0"/>
        <v>170.4</v>
      </c>
      <c r="Q56" s="6">
        <f t="shared" si="1"/>
        <v>1533.6</v>
      </c>
      <c r="R56" s="9">
        <f t="shared" si="2"/>
        <v>0.78888888888888886</v>
      </c>
    </row>
    <row r="57" spans="1:18" x14ac:dyDescent="0.25">
      <c r="A57" s="2" t="s">
        <v>65</v>
      </c>
      <c r="B57" s="2">
        <v>241730</v>
      </c>
      <c r="C57" s="2" t="s">
        <v>98</v>
      </c>
      <c r="D57" s="3">
        <v>45245</v>
      </c>
      <c r="E57" s="2">
        <v>60</v>
      </c>
      <c r="F57" s="2">
        <v>70.3</v>
      </c>
      <c r="G57" s="2">
        <v>4218</v>
      </c>
      <c r="H57" s="2">
        <v>0</v>
      </c>
      <c r="I57" s="2">
        <v>44400</v>
      </c>
      <c r="J57" s="4">
        <v>6.9000000000000006E-2</v>
      </c>
      <c r="K57" s="4">
        <v>9.5000000000000001E-2</v>
      </c>
      <c r="L57" s="4">
        <v>0.1</v>
      </c>
      <c r="M57" s="2">
        <v>0</v>
      </c>
      <c r="N57" s="2">
        <v>3063.6</v>
      </c>
      <c r="O57" s="5">
        <v>1154.3999999999992</v>
      </c>
      <c r="P57" s="5">
        <f t="shared" si="0"/>
        <v>306.36</v>
      </c>
      <c r="Q57" s="6">
        <f t="shared" si="1"/>
        <v>2757.24</v>
      </c>
      <c r="R57" s="9">
        <f t="shared" si="2"/>
        <v>0.72631578947368425</v>
      </c>
    </row>
    <row r="58" spans="1:18" x14ac:dyDescent="0.25">
      <c r="A58" s="2" t="s">
        <v>66</v>
      </c>
      <c r="B58" s="2">
        <v>241730</v>
      </c>
      <c r="C58" s="2" t="s">
        <v>98</v>
      </c>
      <c r="D58" s="3">
        <v>45245</v>
      </c>
      <c r="E58" s="2">
        <v>60</v>
      </c>
      <c r="F58" s="2">
        <v>38</v>
      </c>
      <c r="G58" s="2">
        <v>2280</v>
      </c>
      <c r="H58" s="2">
        <v>0</v>
      </c>
      <c r="I58" s="2">
        <v>24000</v>
      </c>
      <c r="J58" s="4">
        <v>6.9000000000000006E-2</v>
      </c>
      <c r="K58" s="4">
        <v>9.5000000000000001E-2</v>
      </c>
      <c r="L58" s="4">
        <v>0.1</v>
      </c>
      <c r="M58" s="2">
        <v>0</v>
      </c>
      <c r="N58" s="2">
        <v>1656</v>
      </c>
      <c r="O58" s="5">
        <v>623.99999999999955</v>
      </c>
      <c r="P58" s="5">
        <f t="shared" si="0"/>
        <v>165.60000000000002</v>
      </c>
      <c r="Q58" s="6">
        <f t="shared" si="1"/>
        <v>1490.4</v>
      </c>
      <c r="R58" s="9">
        <f t="shared" si="2"/>
        <v>0.72631578947368425</v>
      </c>
    </row>
    <row r="59" spans="1:18" x14ac:dyDescent="0.25">
      <c r="A59" s="2" t="s">
        <v>67</v>
      </c>
      <c r="B59" s="2">
        <v>241730</v>
      </c>
      <c r="C59" s="2" t="s">
        <v>98</v>
      </c>
      <c r="D59" s="3">
        <v>45231</v>
      </c>
      <c r="E59" s="2">
        <v>60</v>
      </c>
      <c r="F59" s="2">
        <v>36.1</v>
      </c>
      <c r="G59" s="2">
        <v>2166</v>
      </c>
      <c r="H59" s="2">
        <v>0</v>
      </c>
      <c r="I59" s="2">
        <v>22800</v>
      </c>
      <c r="J59" s="4">
        <v>6.9000000000000006E-2</v>
      </c>
      <c r="K59" s="4">
        <v>9.5000000000000001E-2</v>
      </c>
      <c r="L59" s="4">
        <v>0.1</v>
      </c>
      <c r="M59" s="2">
        <v>36.1</v>
      </c>
      <c r="N59" s="2">
        <v>1573.2</v>
      </c>
      <c r="O59" s="5">
        <v>592.79999999999995</v>
      </c>
      <c r="P59" s="5">
        <f t="shared" si="0"/>
        <v>157.32000000000002</v>
      </c>
      <c r="Q59" s="6">
        <f t="shared" si="1"/>
        <v>1415.88</v>
      </c>
      <c r="R59" s="9">
        <f t="shared" si="2"/>
        <v>0.72631578947368425</v>
      </c>
    </row>
    <row r="60" spans="1:18" x14ac:dyDescent="0.25">
      <c r="A60" s="2" t="s">
        <v>68</v>
      </c>
      <c r="B60" s="2">
        <v>241730</v>
      </c>
      <c r="C60" s="2" t="s">
        <v>98</v>
      </c>
      <c r="D60" s="3">
        <v>45245</v>
      </c>
      <c r="E60" s="2">
        <v>60</v>
      </c>
      <c r="F60" s="2">
        <v>27.08</v>
      </c>
      <c r="G60" s="2">
        <v>1624.5</v>
      </c>
      <c r="H60" s="2">
        <v>0</v>
      </c>
      <c r="I60" s="2">
        <v>17100</v>
      </c>
      <c r="J60" s="4">
        <v>6.9000000000000006E-2</v>
      </c>
      <c r="K60" s="4">
        <v>9.5000000000000001E-2</v>
      </c>
      <c r="L60" s="4">
        <v>0.1</v>
      </c>
      <c r="M60" s="2">
        <v>0</v>
      </c>
      <c r="N60" s="2">
        <v>1179.9000000000001</v>
      </c>
      <c r="O60" s="5">
        <v>444.59999999999991</v>
      </c>
      <c r="P60" s="5">
        <f t="shared" si="0"/>
        <v>117.99000000000001</v>
      </c>
      <c r="Q60" s="6">
        <f t="shared" si="1"/>
        <v>1061.9100000000001</v>
      </c>
      <c r="R60" s="9">
        <f t="shared" si="2"/>
        <v>0.72631578947368425</v>
      </c>
    </row>
    <row r="61" spans="1:18" x14ac:dyDescent="0.25">
      <c r="A61" s="2" t="s">
        <v>69</v>
      </c>
      <c r="B61" s="2">
        <v>241730</v>
      </c>
      <c r="C61" s="2" t="s">
        <v>98</v>
      </c>
      <c r="D61" s="3">
        <v>45245</v>
      </c>
      <c r="E61" s="2">
        <v>60</v>
      </c>
      <c r="F61" s="2">
        <v>144</v>
      </c>
      <c r="G61" s="2">
        <v>8640</v>
      </c>
      <c r="H61" s="2">
        <v>0</v>
      </c>
      <c r="I61" s="2">
        <v>96000</v>
      </c>
      <c r="J61" s="4">
        <v>7.0999999999999994E-2</v>
      </c>
      <c r="K61" s="4">
        <v>0.09</v>
      </c>
      <c r="L61" s="4">
        <v>0.1</v>
      </c>
      <c r="M61" s="2">
        <v>0</v>
      </c>
      <c r="N61" s="2">
        <v>6816</v>
      </c>
      <c r="O61" s="5">
        <v>1824.0000000000018</v>
      </c>
      <c r="P61" s="5">
        <f t="shared" si="0"/>
        <v>681.6</v>
      </c>
      <c r="Q61" s="6">
        <f t="shared" si="1"/>
        <v>6134.4</v>
      </c>
      <c r="R61" s="9">
        <f t="shared" si="2"/>
        <v>0.78888888888888886</v>
      </c>
    </row>
    <row r="62" spans="1:18" x14ac:dyDescent="0.25">
      <c r="A62" s="2" t="s">
        <v>70</v>
      </c>
      <c r="B62" s="2">
        <v>241730</v>
      </c>
      <c r="C62" s="2" t="s">
        <v>98</v>
      </c>
      <c r="D62" s="3">
        <v>45245</v>
      </c>
      <c r="E62" s="2">
        <v>60</v>
      </c>
      <c r="F62" s="2">
        <v>76</v>
      </c>
      <c r="G62" s="2">
        <v>4560</v>
      </c>
      <c r="H62" s="2">
        <v>0</v>
      </c>
      <c r="I62" s="2">
        <v>48000</v>
      </c>
      <c r="J62" s="4">
        <v>6.9000000000000006E-2</v>
      </c>
      <c r="K62" s="4">
        <v>9.5000000000000001E-2</v>
      </c>
      <c r="L62" s="4">
        <v>0.1</v>
      </c>
      <c r="M62" s="2">
        <v>0</v>
      </c>
      <c r="N62" s="2">
        <v>3312</v>
      </c>
      <c r="O62" s="5">
        <v>1247.9999999999991</v>
      </c>
      <c r="P62" s="5">
        <f t="shared" si="0"/>
        <v>331.20000000000005</v>
      </c>
      <c r="Q62" s="6">
        <f t="shared" si="1"/>
        <v>2980.8</v>
      </c>
      <c r="R62" s="9">
        <f t="shared" si="2"/>
        <v>0.72631578947368425</v>
      </c>
    </row>
    <row r="63" spans="1:18" x14ac:dyDescent="0.25">
      <c r="A63" s="2" t="s">
        <v>71</v>
      </c>
      <c r="B63" s="2">
        <v>204000</v>
      </c>
      <c r="C63" s="2" t="s">
        <v>99</v>
      </c>
      <c r="D63" s="3">
        <v>45200</v>
      </c>
      <c r="E63" s="2">
        <v>60</v>
      </c>
      <c r="F63" s="2">
        <v>25</v>
      </c>
      <c r="G63" s="2">
        <v>1499.78</v>
      </c>
      <c r="H63" s="2">
        <v>0</v>
      </c>
      <c r="I63" s="2">
        <v>15787.15789473684</v>
      </c>
      <c r="J63" s="4">
        <v>7.1500000000000008E-2</v>
      </c>
      <c r="K63" s="4">
        <v>9.5000000000000001E-2</v>
      </c>
      <c r="L63" s="4">
        <v>0</v>
      </c>
      <c r="M63" s="2">
        <v>50</v>
      </c>
      <c r="N63" s="2">
        <v>1128.78</v>
      </c>
      <c r="O63" s="5">
        <v>370.99762237762229</v>
      </c>
      <c r="P63" s="5">
        <f t="shared" si="0"/>
        <v>0</v>
      </c>
      <c r="Q63" s="6">
        <f t="shared" si="1"/>
        <v>1128.78</v>
      </c>
      <c r="R63" s="9">
        <f t="shared" si="2"/>
        <v>0.75263157894736854</v>
      </c>
    </row>
    <row r="64" spans="1:18" x14ac:dyDescent="0.25">
      <c r="A64" s="2" t="s">
        <v>72</v>
      </c>
      <c r="B64" s="2">
        <v>204000</v>
      </c>
      <c r="C64" s="2" t="s">
        <v>99</v>
      </c>
      <c r="D64" s="3">
        <v>45231</v>
      </c>
      <c r="E64" s="2">
        <v>60</v>
      </c>
      <c r="F64" s="2">
        <v>48.6</v>
      </c>
      <c r="G64" s="2">
        <v>2916</v>
      </c>
      <c r="H64" s="2">
        <v>0</v>
      </c>
      <c r="I64" s="2">
        <v>32400</v>
      </c>
      <c r="J64" s="4">
        <v>7.4999999999999997E-2</v>
      </c>
      <c r="K64" s="4">
        <v>0.09</v>
      </c>
      <c r="L64" s="4">
        <v>0</v>
      </c>
      <c r="M64" s="2">
        <v>0</v>
      </c>
      <c r="N64" s="2">
        <v>2430</v>
      </c>
      <c r="O64" s="5">
        <v>486</v>
      </c>
      <c r="P64" s="5">
        <f t="shared" si="0"/>
        <v>0</v>
      </c>
      <c r="Q64" s="6">
        <f t="shared" si="1"/>
        <v>2430</v>
      </c>
      <c r="R64" s="9">
        <f t="shared" si="2"/>
        <v>0.83333333333333337</v>
      </c>
    </row>
    <row r="65" spans="1:18" x14ac:dyDescent="0.25">
      <c r="A65" s="2" t="s">
        <v>73</v>
      </c>
      <c r="B65" s="2">
        <v>204000</v>
      </c>
      <c r="C65" s="2" t="s">
        <v>99</v>
      </c>
      <c r="D65" s="3">
        <v>45245</v>
      </c>
      <c r="E65" s="2">
        <v>60</v>
      </c>
      <c r="F65" s="2">
        <v>76</v>
      </c>
      <c r="G65" s="2">
        <v>4560</v>
      </c>
      <c r="H65" s="2">
        <v>0</v>
      </c>
      <c r="I65" s="2">
        <v>48000</v>
      </c>
      <c r="J65" s="4">
        <v>7.1500000000000008E-2</v>
      </c>
      <c r="K65" s="4">
        <v>9.5000000000000001E-2</v>
      </c>
      <c r="L65" s="4">
        <v>0</v>
      </c>
      <c r="M65" s="2">
        <v>0</v>
      </c>
      <c r="N65" s="2">
        <v>3432</v>
      </c>
      <c r="O65" s="5">
        <v>1127.9999999999991</v>
      </c>
      <c r="P65" s="5">
        <f t="shared" si="0"/>
        <v>0</v>
      </c>
      <c r="Q65" s="6">
        <f t="shared" si="1"/>
        <v>3432</v>
      </c>
      <c r="R65" s="9">
        <f t="shared" si="2"/>
        <v>0.75263157894736854</v>
      </c>
    </row>
    <row r="66" spans="1:18" x14ac:dyDescent="0.25">
      <c r="A66" s="2" t="s">
        <v>74</v>
      </c>
      <c r="B66" s="2">
        <v>204000</v>
      </c>
      <c r="C66" s="2" t="s">
        <v>99</v>
      </c>
      <c r="D66" s="3">
        <v>45231</v>
      </c>
      <c r="E66" s="2">
        <v>60</v>
      </c>
      <c r="F66" s="2">
        <v>38</v>
      </c>
      <c r="G66" s="2">
        <v>2280</v>
      </c>
      <c r="H66" s="2">
        <v>0</v>
      </c>
      <c r="I66" s="2">
        <v>24000</v>
      </c>
      <c r="J66" s="4">
        <v>7.1500000000000008E-2</v>
      </c>
      <c r="K66" s="4">
        <v>9.5000000000000001E-2</v>
      </c>
      <c r="L66" s="4">
        <v>0</v>
      </c>
      <c r="M66" s="2">
        <v>38</v>
      </c>
      <c r="N66" s="2">
        <v>1716</v>
      </c>
      <c r="O66" s="5">
        <v>563.99999999999955</v>
      </c>
      <c r="P66" s="5">
        <f t="shared" si="0"/>
        <v>0</v>
      </c>
      <c r="Q66" s="6">
        <f t="shared" si="1"/>
        <v>1716</v>
      </c>
      <c r="R66" s="9">
        <f t="shared" si="2"/>
        <v>0.75263157894736854</v>
      </c>
    </row>
    <row r="67" spans="1:18" x14ac:dyDescent="0.25">
      <c r="A67" s="2" t="s">
        <v>75</v>
      </c>
      <c r="B67" s="2">
        <v>204000</v>
      </c>
      <c r="C67" s="2" t="s">
        <v>99</v>
      </c>
      <c r="D67" s="3">
        <v>45231</v>
      </c>
      <c r="E67" s="2">
        <v>60</v>
      </c>
      <c r="F67" s="2">
        <v>38</v>
      </c>
      <c r="G67" s="2">
        <v>2280</v>
      </c>
      <c r="H67" s="2">
        <v>0</v>
      </c>
      <c r="I67" s="2">
        <v>24000</v>
      </c>
      <c r="J67" s="4">
        <v>7.1500000000000008E-2</v>
      </c>
      <c r="K67" s="4">
        <v>9.5000000000000001E-2</v>
      </c>
      <c r="L67" s="4">
        <v>0</v>
      </c>
      <c r="M67" s="2">
        <v>38</v>
      </c>
      <c r="N67" s="2">
        <v>1716</v>
      </c>
      <c r="O67" s="5">
        <v>563.99999999999955</v>
      </c>
      <c r="P67" s="5">
        <f t="shared" ref="P67:P69" si="3">L67*N67</f>
        <v>0</v>
      </c>
      <c r="Q67" s="6">
        <f t="shared" ref="Q67:Q69" si="4">N67-P67</f>
        <v>1716</v>
      </c>
      <c r="R67" s="9">
        <f t="shared" si="2"/>
        <v>0.75263157894736854</v>
      </c>
    </row>
    <row r="68" spans="1:18" x14ac:dyDescent="0.25">
      <c r="A68" s="2" t="s">
        <v>76</v>
      </c>
      <c r="B68" s="2">
        <v>204000</v>
      </c>
      <c r="C68" s="2" t="s">
        <v>99</v>
      </c>
      <c r="D68" s="3">
        <v>45231</v>
      </c>
      <c r="E68" s="2">
        <v>60</v>
      </c>
      <c r="F68" s="2">
        <v>161.5</v>
      </c>
      <c r="G68" s="2">
        <v>9690</v>
      </c>
      <c r="H68" s="2">
        <v>0</v>
      </c>
      <c r="I68" s="2">
        <v>102000</v>
      </c>
      <c r="J68" s="4">
        <v>7.1500000000000008E-2</v>
      </c>
      <c r="K68" s="4">
        <v>9.5000000000000001E-2</v>
      </c>
      <c r="L68" s="4">
        <v>0</v>
      </c>
      <c r="M68" s="2">
        <v>0</v>
      </c>
      <c r="N68" s="2">
        <v>7293</v>
      </c>
      <c r="O68" s="5">
        <v>2396.9999999999982</v>
      </c>
      <c r="P68" s="5">
        <f t="shared" si="3"/>
        <v>0</v>
      </c>
      <c r="Q68" s="6">
        <f t="shared" si="4"/>
        <v>7293</v>
      </c>
      <c r="R68" s="9">
        <f t="shared" ref="R68:R69" si="5">J68/K68</f>
        <v>0.75263157894736854</v>
      </c>
    </row>
    <row r="69" spans="1:18" x14ac:dyDescent="0.25">
      <c r="A69" s="2" t="s">
        <v>77</v>
      </c>
      <c r="B69" s="2">
        <v>204000</v>
      </c>
      <c r="C69" s="2" t="s">
        <v>99</v>
      </c>
      <c r="D69" s="3">
        <v>45231</v>
      </c>
      <c r="E69" s="2">
        <v>60</v>
      </c>
      <c r="F69" s="2">
        <v>36</v>
      </c>
      <c r="G69" s="2">
        <v>2160</v>
      </c>
      <c r="H69" s="2">
        <v>0</v>
      </c>
      <c r="I69" s="2">
        <v>24000</v>
      </c>
      <c r="J69" s="4">
        <v>7.4999999999999997E-2</v>
      </c>
      <c r="K69" s="4">
        <v>0.09</v>
      </c>
      <c r="L69" s="4">
        <v>0</v>
      </c>
      <c r="M69" s="2">
        <v>36</v>
      </c>
      <c r="N69" s="2">
        <v>1800</v>
      </c>
      <c r="O69" s="5">
        <v>360</v>
      </c>
      <c r="P69" s="5">
        <f t="shared" si="3"/>
        <v>0</v>
      </c>
      <c r="Q69" s="6">
        <f t="shared" si="4"/>
        <v>1800</v>
      </c>
      <c r="R69" s="9">
        <f t="shared" si="5"/>
        <v>0.83333333333333337</v>
      </c>
    </row>
    <row r="70" spans="1:18" x14ac:dyDescent="0.25">
      <c r="G70" s="12"/>
      <c r="O70" s="12"/>
      <c r="Q7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Rakuten Europe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 Kyrkos</dc:creator>
  <cp:lastModifiedBy>Georgios Kyrkos</cp:lastModifiedBy>
  <dcterms:created xsi:type="dcterms:W3CDTF">2024-06-11T12:24:35Z</dcterms:created>
  <dcterms:modified xsi:type="dcterms:W3CDTF">2026-02-08T19:26:38Z</dcterms:modified>
</cp:coreProperties>
</file>